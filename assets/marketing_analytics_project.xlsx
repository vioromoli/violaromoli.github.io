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hidePivotFieldList="1"/>
  <mc:AlternateContent xmlns:mc="http://schemas.openxmlformats.org/markup-compatibility/2006">
    <mc:Choice Requires="x15">
      <x15ac:absPath xmlns:x15ac="http://schemas.microsoft.com/office/spreadsheetml/2010/11/ac" url="/Users/violaromoli/Desktop/Da consegnare/marketing_analytics_project/"/>
    </mc:Choice>
  </mc:AlternateContent>
  <xr:revisionPtr revIDLastSave="0" documentId="13_ncr:1_{45E8B116-319A-2447-8417-F58F276E015F}" xr6:coauthVersionLast="47" xr6:coauthVersionMax="47" xr10:uidLastSave="{00000000-0000-0000-0000-000000000000}"/>
  <bookViews>
    <workbookView xWindow="0" yWindow="500" windowWidth="28800" windowHeight="16260" activeTab="4" xr2:uid="{00000000-000D-0000-FFFF-FFFF00000000}"/>
  </bookViews>
  <sheets>
    <sheet name="README" sheetId="1" r:id="rId1"/>
    <sheet name="Dataset_A_Customers" sheetId="2" r:id="rId2"/>
    <sheet name="Dataset_B_Channels" sheetId="3" r:id="rId3"/>
    <sheet name="Dataset_C_Sales" sheetId="4" r:id="rId4"/>
    <sheet name="Dashboard" sheetId="10" r:id="rId5"/>
    <sheet name="A_RAW" sheetId="5" r:id="rId6"/>
    <sheet name="RFM_Scoring" sheetId="6" r:id="rId7"/>
    <sheet name="Segment Profiles" sheetId="7" r:id="rId8"/>
    <sheet name="B_RAW" sheetId="8" r:id="rId9"/>
    <sheet name="Channels Analysis" sheetId="9" r:id="rId10"/>
  </sheets>
  <definedNames>
    <definedName name="_xlnm._FilterDatabase" localSheetId="5" hidden="1">A_RAW!$B$1:$B$301</definedName>
    <definedName name="_xlnm._FilterDatabase" localSheetId="6" hidden="1">RFM_Scoring!$S$1:$S$308</definedName>
  </definedNames>
  <calcPr calcId="191029"/>
  <pivotCaches>
    <pivotCache cacheId="3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" i="9" l="1"/>
  <c r="Q19" i="9"/>
  <c r="Q18" i="9"/>
  <c r="Q17" i="9"/>
  <c r="Q16" i="9"/>
  <c r="P20" i="9"/>
  <c r="P19" i="9"/>
  <c r="P18" i="9"/>
  <c r="P17" i="9"/>
  <c r="P16" i="9"/>
  <c r="Q30" i="9"/>
  <c r="Q29" i="9"/>
  <c r="Q28" i="9"/>
  <c r="Q26" i="9"/>
  <c r="Q25" i="9"/>
  <c r="Q27" i="9"/>
  <c r="X10" i="9"/>
  <c r="X9" i="9"/>
  <c r="X8" i="9"/>
  <c r="X7" i="9"/>
  <c r="X6" i="9"/>
  <c r="X5" i="9"/>
  <c r="Q301" i="6" l="1"/>
  <c r="P301" i="6"/>
  <c r="O301" i="6"/>
  <c r="Q300" i="6"/>
  <c r="P300" i="6"/>
  <c r="O300" i="6"/>
  <c r="Q299" i="6"/>
  <c r="P299" i="6"/>
  <c r="O299" i="6"/>
  <c r="Q298" i="6"/>
  <c r="P298" i="6"/>
  <c r="O298" i="6"/>
  <c r="Q297" i="6"/>
  <c r="P297" i="6"/>
  <c r="O297" i="6"/>
  <c r="Q296" i="6"/>
  <c r="P296" i="6"/>
  <c r="O296" i="6"/>
  <c r="Q295" i="6"/>
  <c r="P295" i="6"/>
  <c r="O295" i="6"/>
  <c r="Q294" i="6"/>
  <c r="P294" i="6"/>
  <c r="O294" i="6"/>
  <c r="Q293" i="6"/>
  <c r="P293" i="6"/>
  <c r="O293" i="6"/>
  <c r="Q292" i="6"/>
  <c r="P292" i="6"/>
  <c r="O292" i="6"/>
  <c r="Q291" i="6"/>
  <c r="P291" i="6"/>
  <c r="O291" i="6"/>
  <c r="Q290" i="6"/>
  <c r="P290" i="6"/>
  <c r="O290" i="6"/>
  <c r="Q289" i="6"/>
  <c r="P289" i="6"/>
  <c r="O289" i="6"/>
  <c r="Q288" i="6"/>
  <c r="P288" i="6"/>
  <c r="O288" i="6"/>
  <c r="Q287" i="6"/>
  <c r="P287" i="6"/>
  <c r="O287" i="6"/>
  <c r="Q286" i="6"/>
  <c r="P286" i="6"/>
  <c r="O286" i="6"/>
  <c r="Q285" i="6"/>
  <c r="P285" i="6"/>
  <c r="O285" i="6"/>
  <c r="Q284" i="6"/>
  <c r="P284" i="6"/>
  <c r="O284" i="6"/>
  <c r="Q283" i="6"/>
  <c r="P283" i="6"/>
  <c r="O283" i="6"/>
  <c r="Q282" i="6"/>
  <c r="P282" i="6"/>
  <c r="O282" i="6"/>
  <c r="Q281" i="6"/>
  <c r="P281" i="6"/>
  <c r="O281" i="6"/>
  <c r="Q280" i="6"/>
  <c r="P280" i="6"/>
  <c r="O280" i="6"/>
  <c r="Q279" i="6"/>
  <c r="P279" i="6"/>
  <c r="O279" i="6"/>
  <c r="Q278" i="6"/>
  <c r="P278" i="6"/>
  <c r="O278" i="6"/>
  <c r="Q277" i="6"/>
  <c r="P277" i="6"/>
  <c r="O277" i="6"/>
  <c r="Q276" i="6"/>
  <c r="P276" i="6"/>
  <c r="O276" i="6"/>
  <c r="Q275" i="6"/>
  <c r="P275" i="6"/>
  <c r="O275" i="6"/>
  <c r="Q274" i="6"/>
  <c r="P274" i="6"/>
  <c r="O274" i="6"/>
  <c r="Q273" i="6"/>
  <c r="P273" i="6"/>
  <c r="O273" i="6"/>
  <c r="Q272" i="6"/>
  <c r="P272" i="6"/>
  <c r="O272" i="6"/>
  <c r="Q271" i="6"/>
  <c r="P271" i="6"/>
  <c r="O271" i="6"/>
  <c r="Q270" i="6"/>
  <c r="P270" i="6"/>
  <c r="O270" i="6"/>
  <c r="Q269" i="6"/>
  <c r="P269" i="6"/>
  <c r="O269" i="6"/>
  <c r="Q268" i="6"/>
  <c r="P268" i="6"/>
  <c r="O268" i="6"/>
  <c r="Q267" i="6"/>
  <c r="P267" i="6"/>
  <c r="O267" i="6"/>
  <c r="Q266" i="6"/>
  <c r="P266" i="6"/>
  <c r="O266" i="6"/>
  <c r="Q265" i="6"/>
  <c r="P265" i="6"/>
  <c r="O265" i="6"/>
  <c r="Q264" i="6"/>
  <c r="P264" i="6"/>
  <c r="O264" i="6"/>
  <c r="Q263" i="6"/>
  <c r="P263" i="6"/>
  <c r="O263" i="6"/>
  <c r="Q262" i="6"/>
  <c r="P262" i="6"/>
  <c r="O262" i="6"/>
  <c r="Q261" i="6"/>
  <c r="P261" i="6"/>
  <c r="O261" i="6"/>
  <c r="Q260" i="6"/>
  <c r="P260" i="6"/>
  <c r="O260" i="6"/>
  <c r="Q259" i="6"/>
  <c r="P259" i="6"/>
  <c r="O259" i="6"/>
  <c r="Q258" i="6"/>
  <c r="P258" i="6"/>
  <c r="O258" i="6"/>
  <c r="Q257" i="6"/>
  <c r="P257" i="6"/>
  <c r="O257" i="6"/>
  <c r="Q256" i="6"/>
  <c r="P256" i="6"/>
  <c r="O256" i="6"/>
  <c r="Q255" i="6"/>
  <c r="P255" i="6"/>
  <c r="O255" i="6"/>
  <c r="Q254" i="6"/>
  <c r="P254" i="6"/>
  <c r="O254" i="6"/>
  <c r="Q253" i="6"/>
  <c r="P253" i="6"/>
  <c r="O253" i="6"/>
  <c r="Q252" i="6"/>
  <c r="P252" i="6"/>
  <c r="O252" i="6"/>
  <c r="Q251" i="6"/>
  <c r="P251" i="6"/>
  <c r="O251" i="6"/>
  <c r="Q250" i="6"/>
  <c r="P250" i="6"/>
  <c r="O250" i="6"/>
  <c r="S250" i="6" s="1" a="1"/>
  <c r="S250" i="6" s="1"/>
  <c r="Q249" i="6"/>
  <c r="P249" i="6"/>
  <c r="O249" i="6"/>
  <c r="Q248" i="6"/>
  <c r="P248" i="6"/>
  <c r="O248" i="6"/>
  <c r="Q247" i="6"/>
  <c r="P247" i="6"/>
  <c r="O247" i="6"/>
  <c r="Q246" i="6"/>
  <c r="P246" i="6"/>
  <c r="O246" i="6"/>
  <c r="Q245" i="6"/>
  <c r="P245" i="6"/>
  <c r="O245" i="6"/>
  <c r="Q244" i="6"/>
  <c r="P244" i="6"/>
  <c r="O244" i="6"/>
  <c r="Q243" i="6"/>
  <c r="P243" i="6"/>
  <c r="O243" i="6"/>
  <c r="Q242" i="6"/>
  <c r="P242" i="6"/>
  <c r="O242" i="6"/>
  <c r="S242" i="6" s="1" a="1"/>
  <c r="S242" i="6" s="1"/>
  <c r="Q241" i="6"/>
  <c r="P241" i="6"/>
  <c r="O241" i="6"/>
  <c r="Q240" i="6"/>
  <c r="P240" i="6"/>
  <c r="O240" i="6"/>
  <c r="Q239" i="6"/>
  <c r="P239" i="6"/>
  <c r="O239" i="6"/>
  <c r="Q238" i="6"/>
  <c r="P238" i="6"/>
  <c r="O238" i="6"/>
  <c r="Q237" i="6"/>
  <c r="P237" i="6"/>
  <c r="O237" i="6"/>
  <c r="Q236" i="6"/>
  <c r="P236" i="6"/>
  <c r="O236" i="6"/>
  <c r="Q235" i="6"/>
  <c r="P235" i="6"/>
  <c r="O235" i="6"/>
  <c r="Q234" i="6"/>
  <c r="P234" i="6"/>
  <c r="O234" i="6"/>
  <c r="Q233" i="6"/>
  <c r="P233" i="6"/>
  <c r="O233" i="6"/>
  <c r="Q232" i="6"/>
  <c r="P232" i="6"/>
  <c r="O232" i="6"/>
  <c r="Q231" i="6"/>
  <c r="P231" i="6"/>
  <c r="O231" i="6"/>
  <c r="Q230" i="6"/>
  <c r="P230" i="6"/>
  <c r="O230" i="6"/>
  <c r="Q229" i="6"/>
  <c r="P229" i="6"/>
  <c r="O229" i="6"/>
  <c r="Q228" i="6"/>
  <c r="P228" i="6"/>
  <c r="O228" i="6"/>
  <c r="Q227" i="6"/>
  <c r="P227" i="6"/>
  <c r="O227" i="6"/>
  <c r="Q226" i="6"/>
  <c r="P226" i="6"/>
  <c r="O226" i="6"/>
  <c r="Q225" i="6"/>
  <c r="P225" i="6"/>
  <c r="O225" i="6"/>
  <c r="Q224" i="6"/>
  <c r="P224" i="6"/>
  <c r="O224" i="6"/>
  <c r="Q223" i="6"/>
  <c r="P223" i="6"/>
  <c r="O223" i="6"/>
  <c r="Q222" i="6"/>
  <c r="P222" i="6"/>
  <c r="O222" i="6"/>
  <c r="Q221" i="6"/>
  <c r="P221" i="6"/>
  <c r="O221" i="6"/>
  <c r="Q220" i="6"/>
  <c r="P220" i="6"/>
  <c r="O220" i="6"/>
  <c r="Q219" i="6"/>
  <c r="P219" i="6"/>
  <c r="O219" i="6"/>
  <c r="Q218" i="6"/>
  <c r="P218" i="6"/>
  <c r="O218" i="6"/>
  <c r="Q217" i="6"/>
  <c r="P217" i="6"/>
  <c r="O217" i="6"/>
  <c r="Q216" i="6"/>
  <c r="P216" i="6"/>
  <c r="O216" i="6"/>
  <c r="Q215" i="6"/>
  <c r="P215" i="6"/>
  <c r="O215" i="6"/>
  <c r="Q214" i="6"/>
  <c r="P214" i="6"/>
  <c r="O214" i="6"/>
  <c r="Q213" i="6"/>
  <c r="P213" i="6"/>
  <c r="O213" i="6"/>
  <c r="Q212" i="6"/>
  <c r="P212" i="6"/>
  <c r="O212" i="6"/>
  <c r="Q211" i="6"/>
  <c r="P211" i="6"/>
  <c r="O211" i="6"/>
  <c r="Q210" i="6"/>
  <c r="P210" i="6"/>
  <c r="O210" i="6"/>
  <c r="Q209" i="6"/>
  <c r="P209" i="6"/>
  <c r="O209" i="6"/>
  <c r="Q208" i="6"/>
  <c r="P208" i="6"/>
  <c r="O208" i="6"/>
  <c r="Q207" i="6"/>
  <c r="P207" i="6"/>
  <c r="O207" i="6"/>
  <c r="Q206" i="6"/>
  <c r="P206" i="6"/>
  <c r="O206" i="6"/>
  <c r="Q205" i="6"/>
  <c r="P205" i="6"/>
  <c r="O205" i="6"/>
  <c r="Q204" i="6"/>
  <c r="P204" i="6"/>
  <c r="O204" i="6"/>
  <c r="Q203" i="6"/>
  <c r="P203" i="6"/>
  <c r="O203" i="6"/>
  <c r="Q202" i="6"/>
  <c r="P202" i="6"/>
  <c r="O202" i="6"/>
  <c r="Q201" i="6"/>
  <c r="P201" i="6"/>
  <c r="O201" i="6"/>
  <c r="Q200" i="6"/>
  <c r="P200" i="6"/>
  <c r="O200" i="6"/>
  <c r="Q199" i="6"/>
  <c r="P199" i="6"/>
  <c r="O199" i="6"/>
  <c r="Q198" i="6"/>
  <c r="P198" i="6"/>
  <c r="O198" i="6"/>
  <c r="Q197" i="6"/>
  <c r="P197" i="6"/>
  <c r="O197" i="6"/>
  <c r="Q196" i="6"/>
  <c r="P196" i="6"/>
  <c r="O196" i="6"/>
  <c r="Q195" i="6"/>
  <c r="P195" i="6"/>
  <c r="O195" i="6"/>
  <c r="Q194" i="6"/>
  <c r="P194" i="6"/>
  <c r="O194" i="6"/>
  <c r="Q193" i="6"/>
  <c r="P193" i="6"/>
  <c r="O193" i="6"/>
  <c r="Q192" i="6"/>
  <c r="P192" i="6"/>
  <c r="O192" i="6"/>
  <c r="Q191" i="6"/>
  <c r="P191" i="6"/>
  <c r="O191" i="6"/>
  <c r="Q190" i="6"/>
  <c r="P190" i="6"/>
  <c r="O190" i="6"/>
  <c r="Q189" i="6"/>
  <c r="P189" i="6"/>
  <c r="O189" i="6"/>
  <c r="Q188" i="6"/>
  <c r="P188" i="6"/>
  <c r="O188" i="6"/>
  <c r="Q187" i="6"/>
  <c r="P187" i="6"/>
  <c r="O187" i="6"/>
  <c r="Q186" i="6"/>
  <c r="P186" i="6"/>
  <c r="O186" i="6"/>
  <c r="Q185" i="6"/>
  <c r="P185" i="6"/>
  <c r="O185" i="6"/>
  <c r="Q184" i="6"/>
  <c r="P184" i="6"/>
  <c r="O184" i="6"/>
  <c r="Q183" i="6"/>
  <c r="P183" i="6"/>
  <c r="O183" i="6"/>
  <c r="Q182" i="6"/>
  <c r="P182" i="6"/>
  <c r="O182" i="6"/>
  <c r="Q181" i="6"/>
  <c r="P181" i="6"/>
  <c r="O181" i="6"/>
  <c r="Q180" i="6"/>
  <c r="P180" i="6"/>
  <c r="O180" i="6"/>
  <c r="Q179" i="6"/>
  <c r="P179" i="6"/>
  <c r="O179" i="6"/>
  <c r="Q178" i="6"/>
  <c r="P178" i="6"/>
  <c r="O178" i="6"/>
  <c r="Q177" i="6"/>
  <c r="P177" i="6"/>
  <c r="O177" i="6"/>
  <c r="Q176" i="6"/>
  <c r="P176" i="6"/>
  <c r="O176" i="6"/>
  <c r="Q175" i="6"/>
  <c r="P175" i="6"/>
  <c r="O175" i="6"/>
  <c r="Q174" i="6"/>
  <c r="P174" i="6"/>
  <c r="O174" i="6"/>
  <c r="Q173" i="6"/>
  <c r="P173" i="6"/>
  <c r="O173" i="6"/>
  <c r="Q172" i="6"/>
  <c r="P172" i="6"/>
  <c r="O172" i="6"/>
  <c r="Q171" i="6"/>
  <c r="P171" i="6"/>
  <c r="O171" i="6"/>
  <c r="Q170" i="6"/>
  <c r="P170" i="6"/>
  <c r="O170" i="6"/>
  <c r="Q169" i="6"/>
  <c r="P169" i="6"/>
  <c r="O169" i="6"/>
  <c r="Q168" i="6"/>
  <c r="P168" i="6"/>
  <c r="O168" i="6"/>
  <c r="Q167" i="6"/>
  <c r="P167" i="6"/>
  <c r="O167" i="6"/>
  <c r="Q166" i="6"/>
  <c r="P166" i="6"/>
  <c r="O166" i="6"/>
  <c r="Q165" i="6"/>
  <c r="P165" i="6"/>
  <c r="O165" i="6"/>
  <c r="Q164" i="6"/>
  <c r="P164" i="6"/>
  <c r="O164" i="6"/>
  <c r="Q163" i="6"/>
  <c r="P163" i="6"/>
  <c r="O163" i="6"/>
  <c r="Q162" i="6"/>
  <c r="P162" i="6"/>
  <c r="O162" i="6"/>
  <c r="Q161" i="6"/>
  <c r="P161" i="6"/>
  <c r="O161" i="6"/>
  <c r="Q160" i="6"/>
  <c r="P160" i="6"/>
  <c r="O160" i="6"/>
  <c r="Q159" i="6"/>
  <c r="P159" i="6"/>
  <c r="O159" i="6"/>
  <c r="Q158" i="6"/>
  <c r="P158" i="6"/>
  <c r="O158" i="6"/>
  <c r="Q157" i="6"/>
  <c r="P157" i="6"/>
  <c r="O157" i="6"/>
  <c r="Q156" i="6"/>
  <c r="P156" i="6"/>
  <c r="O156" i="6"/>
  <c r="Q155" i="6"/>
  <c r="P155" i="6"/>
  <c r="O155" i="6"/>
  <c r="Q154" i="6"/>
  <c r="P154" i="6"/>
  <c r="O154" i="6"/>
  <c r="Q153" i="6"/>
  <c r="P153" i="6"/>
  <c r="O153" i="6"/>
  <c r="Q152" i="6"/>
  <c r="P152" i="6"/>
  <c r="O152" i="6"/>
  <c r="Q151" i="6"/>
  <c r="P151" i="6"/>
  <c r="O151" i="6"/>
  <c r="Q150" i="6"/>
  <c r="P150" i="6"/>
  <c r="O150" i="6"/>
  <c r="Q149" i="6"/>
  <c r="P149" i="6"/>
  <c r="O149" i="6"/>
  <c r="Q148" i="6"/>
  <c r="P148" i="6"/>
  <c r="O148" i="6"/>
  <c r="Q147" i="6"/>
  <c r="P147" i="6"/>
  <c r="O147" i="6"/>
  <c r="Q146" i="6"/>
  <c r="P146" i="6"/>
  <c r="O146" i="6"/>
  <c r="Q145" i="6"/>
  <c r="P145" i="6"/>
  <c r="O145" i="6"/>
  <c r="Q144" i="6"/>
  <c r="P144" i="6"/>
  <c r="O144" i="6"/>
  <c r="Q143" i="6"/>
  <c r="P143" i="6"/>
  <c r="O143" i="6"/>
  <c r="Q142" i="6"/>
  <c r="P142" i="6"/>
  <c r="O142" i="6"/>
  <c r="Q141" i="6"/>
  <c r="P141" i="6"/>
  <c r="O141" i="6"/>
  <c r="Q140" i="6"/>
  <c r="P140" i="6"/>
  <c r="O140" i="6"/>
  <c r="Q139" i="6"/>
  <c r="P139" i="6"/>
  <c r="O139" i="6"/>
  <c r="Q138" i="6"/>
  <c r="P138" i="6"/>
  <c r="O138" i="6"/>
  <c r="Q137" i="6"/>
  <c r="P137" i="6"/>
  <c r="O137" i="6"/>
  <c r="Q136" i="6"/>
  <c r="P136" i="6"/>
  <c r="O136" i="6"/>
  <c r="Q135" i="6"/>
  <c r="P135" i="6"/>
  <c r="O135" i="6"/>
  <c r="Q134" i="6"/>
  <c r="P134" i="6"/>
  <c r="O134" i="6"/>
  <c r="Q133" i="6"/>
  <c r="P133" i="6"/>
  <c r="O133" i="6"/>
  <c r="Q132" i="6"/>
  <c r="P132" i="6"/>
  <c r="O132" i="6"/>
  <c r="Q131" i="6"/>
  <c r="P131" i="6"/>
  <c r="O131" i="6"/>
  <c r="Q130" i="6"/>
  <c r="P130" i="6"/>
  <c r="O130" i="6"/>
  <c r="Q129" i="6"/>
  <c r="P129" i="6"/>
  <c r="O129" i="6"/>
  <c r="Q128" i="6"/>
  <c r="P128" i="6"/>
  <c r="O128" i="6"/>
  <c r="Q127" i="6"/>
  <c r="P127" i="6"/>
  <c r="O127" i="6"/>
  <c r="Q126" i="6"/>
  <c r="P126" i="6"/>
  <c r="O126" i="6"/>
  <c r="Q125" i="6"/>
  <c r="P125" i="6"/>
  <c r="O125" i="6"/>
  <c r="Q124" i="6"/>
  <c r="P124" i="6"/>
  <c r="O124" i="6"/>
  <c r="Q123" i="6"/>
  <c r="P123" i="6"/>
  <c r="O123" i="6"/>
  <c r="Q122" i="6"/>
  <c r="P122" i="6"/>
  <c r="O122" i="6"/>
  <c r="Q121" i="6"/>
  <c r="P121" i="6"/>
  <c r="O121" i="6"/>
  <c r="Q120" i="6"/>
  <c r="P120" i="6"/>
  <c r="O120" i="6"/>
  <c r="Q119" i="6"/>
  <c r="P119" i="6"/>
  <c r="O119" i="6"/>
  <c r="Q118" i="6"/>
  <c r="P118" i="6"/>
  <c r="O118" i="6"/>
  <c r="Q117" i="6"/>
  <c r="P117" i="6"/>
  <c r="O117" i="6"/>
  <c r="Q116" i="6"/>
  <c r="P116" i="6"/>
  <c r="O116" i="6"/>
  <c r="Q115" i="6"/>
  <c r="P115" i="6"/>
  <c r="O115" i="6"/>
  <c r="Q114" i="6"/>
  <c r="P114" i="6"/>
  <c r="O114" i="6"/>
  <c r="Q113" i="6"/>
  <c r="P113" i="6"/>
  <c r="O113" i="6"/>
  <c r="Q112" i="6"/>
  <c r="P112" i="6"/>
  <c r="O112" i="6"/>
  <c r="Q111" i="6"/>
  <c r="P111" i="6"/>
  <c r="O111" i="6"/>
  <c r="Q110" i="6"/>
  <c r="P110" i="6"/>
  <c r="O110" i="6"/>
  <c r="Q109" i="6"/>
  <c r="P109" i="6"/>
  <c r="O109" i="6"/>
  <c r="Q108" i="6"/>
  <c r="P108" i="6"/>
  <c r="O108" i="6"/>
  <c r="Q107" i="6"/>
  <c r="P107" i="6"/>
  <c r="O107" i="6"/>
  <c r="Q106" i="6"/>
  <c r="P106" i="6"/>
  <c r="O106" i="6"/>
  <c r="Q105" i="6"/>
  <c r="P105" i="6"/>
  <c r="O105" i="6"/>
  <c r="Q104" i="6"/>
  <c r="P104" i="6"/>
  <c r="O104" i="6"/>
  <c r="Q103" i="6"/>
  <c r="P103" i="6"/>
  <c r="O103" i="6"/>
  <c r="Q102" i="6"/>
  <c r="P102" i="6"/>
  <c r="O102" i="6"/>
  <c r="Q101" i="6"/>
  <c r="P101" i="6"/>
  <c r="O101" i="6"/>
  <c r="Q100" i="6"/>
  <c r="P100" i="6"/>
  <c r="O100" i="6"/>
  <c r="Q99" i="6"/>
  <c r="P99" i="6"/>
  <c r="O99" i="6"/>
  <c r="Q98" i="6"/>
  <c r="P98" i="6"/>
  <c r="O98" i="6"/>
  <c r="Q97" i="6"/>
  <c r="P97" i="6"/>
  <c r="O97" i="6"/>
  <c r="Q96" i="6"/>
  <c r="P96" i="6"/>
  <c r="O96" i="6"/>
  <c r="Q95" i="6"/>
  <c r="P95" i="6"/>
  <c r="O95" i="6"/>
  <c r="Q94" i="6"/>
  <c r="P94" i="6"/>
  <c r="O94" i="6"/>
  <c r="Q93" i="6"/>
  <c r="P93" i="6"/>
  <c r="O93" i="6"/>
  <c r="Q92" i="6"/>
  <c r="P92" i="6"/>
  <c r="O92" i="6"/>
  <c r="Q91" i="6"/>
  <c r="P91" i="6"/>
  <c r="O91" i="6"/>
  <c r="Q90" i="6"/>
  <c r="P90" i="6"/>
  <c r="O90" i="6"/>
  <c r="Q89" i="6"/>
  <c r="P89" i="6"/>
  <c r="O89" i="6"/>
  <c r="Q88" i="6"/>
  <c r="P88" i="6"/>
  <c r="O88" i="6"/>
  <c r="Q87" i="6"/>
  <c r="P87" i="6"/>
  <c r="O87" i="6"/>
  <c r="Q86" i="6"/>
  <c r="P86" i="6"/>
  <c r="O86" i="6"/>
  <c r="Q85" i="6"/>
  <c r="P85" i="6"/>
  <c r="O85" i="6"/>
  <c r="Q84" i="6"/>
  <c r="P84" i="6"/>
  <c r="O84" i="6"/>
  <c r="Q83" i="6"/>
  <c r="P83" i="6"/>
  <c r="O83" i="6"/>
  <c r="Q82" i="6"/>
  <c r="P82" i="6"/>
  <c r="O82" i="6"/>
  <c r="Q81" i="6"/>
  <c r="P81" i="6"/>
  <c r="O81" i="6"/>
  <c r="Q80" i="6"/>
  <c r="P80" i="6"/>
  <c r="O80" i="6"/>
  <c r="Q79" i="6"/>
  <c r="P79" i="6"/>
  <c r="O79" i="6"/>
  <c r="Q78" i="6"/>
  <c r="P78" i="6"/>
  <c r="O78" i="6"/>
  <c r="Q77" i="6"/>
  <c r="P77" i="6"/>
  <c r="O77" i="6"/>
  <c r="Q76" i="6"/>
  <c r="P76" i="6"/>
  <c r="O76" i="6"/>
  <c r="Q75" i="6"/>
  <c r="P75" i="6"/>
  <c r="O75" i="6"/>
  <c r="Q74" i="6"/>
  <c r="P74" i="6"/>
  <c r="O74" i="6"/>
  <c r="Q73" i="6"/>
  <c r="P73" i="6"/>
  <c r="O73" i="6"/>
  <c r="Q72" i="6"/>
  <c r="P72" i="6"/>
  <c r="O72" i="6"/>
  <c r="Q71" i="6"/>
  <c r="P71" i="6"/>
  <c r="O71" i="6"/>
  <c r="Q70" i="6"/>
  <c r="P70" i="6"/>
  <c r="O70" i="6"/>
  <c r="Q69" i="6"/>
  <c r="P69" i="6"/>
  <c r="O69" i="6"/>
  <c r="Q68" i="6"/>
  <c r="P68" i="6"/>
  <c r="O68" i="6"/>
  <c r="Q67" i="6"/>
  <c r="P67" i="6"/>
  <c r="O67" i="6"/>
  <c r="Q66" i="6"/>
  <c r="P66" i="6"/>
  <c r="O66" i="6"/>
  <c r="Q65" i="6"/>
  <c r="P65" i="6"/>
  <c r="O65" i="6"/>
  <c r="Q64" i="6"/>
  <c r="P64" i="6"/>
  <c r="O64" i="6"/>
  <c r="Q63" i="6"/>
  <c r="P63" i="6"/>
  <c r="O63" i="6"/>
  <c r="Q62" i="6"/>
  <c r="P62" i="6"/>
  <c r="O62" i="6"/>
  <c r="Q61" i="6"/>
  <c r="P61" i="6"/>
  <c r="O61" i="6"/>
  <c r="Q60" i="6"/>
  <c r="P60" i="6"/>
  <c r="O60" i="6"/>
  <c r="Q59" i="6"/>
  <c r="P59" i="6"/>
  <c r="O59" i="6"/>
  <c r="Q58" i="6"/>
  <c r="P58" i="6"/>
  <c r="O58" i="6"/>
  <c r="Q57" i="6"/>
  <c r="P57" i="6"/>
  <c r="O57" i="6"/>
  <c r="Q56" i="6"/>
  <c r="P56" i="6"/>
  <c r="O56" i="6"/>
  <c r="Q55" i="6"/>
  <c r="P55" i="6"/>
  <c r="O55" i="6"/>
  <c r="Q54" i="6"/>
  <c r="P54" i="6"/>
  <c r="O54" i="6"/>
  <c r="Q53" i="6"/>
  <c r="P53" i="6"/>
  <c r="O53" i="6"/>
  <c r="Q52" i="6"/>
  <c r="P52" i="6"/>
  <c r="O52" i="6"/>
  <c r="Q51" i="6"/>
  <c r="P51" i="6"/>
  <c r="O51" i="6"/>
  <c r="Q50" i="6"/>
  <c r="P50" i="6"/>
  <c r="O50" i="6"/>
  <c r="Q49" i="6"/>
  <c r="P49" i="6"/>
  <c r="O49" i="6"/>
  <c r="Q48" i="6"/>
  <c r="P48" i="6"/>
  <c r="O48" i="6"/>
  <c r="Q47" i="6"/>
  <c r="P47" i="6"/>
  <c r="O47" i="6"/>
  <c r="Q46" i="6"/>
  <c r="P46" i="6"/>
  <c r="O46" i="6"/>
  <c r="Q45" i="6"/>
  <c r="P45" i="6"/>
  <c r="O45" i="6"/>
  <c r="Q44" i="6"/>
  <c r="P44" i="6"/>
  <c r="O44" i="6"/>
  <c r="Q43" i="6"/>
  <c r="P43" i="6"/>
  <c r="O43" i="6"/>
  <c r="Q42" i="6"/>
  <c r="P42" i="6"/>
  <c r="O42" i="6"/>
  <c r="Q41" i="6"/>
  <c r="P41" i="6"/>
  <c r="O41" i="6"/>
  <c r="Q40" i="6"/>
  <c r="P40" i="6"/>
  <c r="O40" i="6"/>
  <c r="Q39" i="6"/>
  <c r="P39" i="6"/>
  <c r="O39" i="6"/>
  <c r="Q38" i="6"/>
  <c r="P38" i="6"/>
  <c r="O38" i="6"/>
  <c r="Q37" i="6"/>
  <c r="P37" i="6"/>
  <c r="O37" i="6"/>
  <c r="Q36" i="6"/>
  <c r="P36" i="6"/>
  <c r="O36" i="6"/>
  <c r="Q35" i="6"/>
  <c r="P35" i="6"/>
  <c r="O35" i="6"/>
  <c r="Q34" i="6"/>
  <c r="P34" i="6"/>
  <c r="O34" i="6"/>
  <c r="Q33" i="6"/>
  <c r="P33" i="6"/>
  <c r="O33" i="6"/>
  <c r="Q32" i="6"/>
  <c r="P32" i="6"/>
  <c r="O32" i="6"/>
  <c r="Q31" i="6"/>
  <c r="P31" i="6"/>
  <c r="O31" i="6"/>
  <c r="Q30" i="6"/>
  <c r="P30" i="6"/>
  <c r="O30" i="6"/>
  <c r="Q29" i="6"/>
  <c r="P29" i="6"/>
  <c r="O29" i="6"/>
  <c r="Q28" i="6"/>
  <c r="P28" i="6"/>
  <c r="O28" i="6"/>
  <c r="Q27" i="6"/>
  <c r="P27" i="6"/>
  <c r="O27" i="6"/>
  <c r="Q26" i="6"/>
  <c r="P26" i="6"/>
  <c r="O26" i="6"/>
  <c r="Q25" i="6"/>
  <c r="P25" i="6"/>
  <c r="O25" i="6"/>
  <c r="Q24" i="6"/>
  <c r="P24" i="6"/>
  <c r="O24" i="6"/>
  <c r="Q23" i="6"/>
  <c r="P23" i="6"/>
  <c r="O23" i="6"/>
  <c r="Q22" i="6"/>
  <c r="P22" i="6"/>
  <c r="O22" i="6"/>
  <c r="Q21" i="6"/>
  <c r="P21" i="6"/>
  <c r="O21" i="6"/>
  <c r="Q20" i="6"/>
  <c r="P20" i="6"/>
  <c r="O20" i="6"/>
  <c r="Q19" i="6"/>
  <c r="P19" i="6"/>
  <c r="O19" i="6"/>
  <c r="Q18" i="6"/>
  <c r="P18" i="6"/>
  <c r="O18" i="6"/>
  <c r="Q17" i="6"/>
  <c r="P17" i="6"/>
  <c r="O17" i="6"/>
  <c r="Q16" i="6"/>
  <c r="P16" i="6"/>
  <c r="O16" i="6"/>
  <c r="Q15" i="6"/>
  <c r="P15" i="6"/>
  <c r="O15" i="6"/>
  <c r="Q14" i="6"/>
  <c r="P14" i="6"/>
  <c r="O14" i="6"/>
  <c r="Q13" i="6"/>
  <c r="P13" i="6"/>
  <c r="O13" i="6"/>
  <c r="Q12" i="6"/>
  <c r="P12" i="6"/>
  <c r="O12" i="6"/>
  <c r="Q11" i="6"/>
  <c r="P11" i="6"/>
  <c r="O11" i="6"/>
  <c r="Q10" i="6"/>
  <c r="P10" i="6"/>
  <c r="O10" i="6"/>
  <c r="Q9" i="6"/>
  <c r="P9" i="6"/>
  <c r="O9" i="6"/>
  <c r="Q8" i="6"/>
  <c r="P8" i="6"/>
  <c r="O8" i="6"/>
  <c r="Q7" i="6"/>
  <c r="P7" i="6"/>
  <c r="O7" i="6"/>
  <c r="Q6" i="6"/>
  <c r="P6" i="6"/>
  <c r="O6" i="6"/>
  <c r="Q5" i="6"/>
  <c r="P5" i="6"/>
  <c r="O5" i="6"/>
  <c r="Q4" i="6"/>
  <c r="P4" i="6"/>
  <c r="O4" i="6"/>
  <c r="Q3" i="6"/>
  <c r="P3" i="6"/>
  <c r="O3" i="6"/>
  <c r="Q2" i="6"/>
  <c r="P2" i="6"/>
  <c r="O2" i="6"/>
  <c r="S41" i="6" l="1" a="1"/>
  <c r="S41" i="6" s="1"/>
  <c r="S53" i="6" a="1"/>
  <c r="S53" i="6" s="1"/>
  <c r="R137" i="6"/>
  <c r="R28" i="6"/>
  <c r="R272" i="6"/>
  <c r="R296" i="6"/>
  <c r="R276" i="6"/>
  <c r="R39" i="6"/>
  <c r="R291" i="6"/>
  <c r="S214" i="6" a="1"/>
  <c r="S214" i="6" s="1"/>
  <c r="R230" i="6"/>
  <c r="S238" i="6" a="1"/>
  <c r="S238" i="6" s="1"/>
  <c r="S254" i="6" a="1"/>
  <c r="S254" i="6" s="1"/>
  <c r="R225" i="6"/>
  <c r="S249" i="6" a="1"/>
  <c r="S249" i="6" s="1"/>
  <c r="S268" i="6" a="1"/>
  <c r="S268" i="6" s="1"/>
  <c r="R45" i="6"/>
  <c r="S61" i="6" a="1"/>
  <c r="S61" i="6" s="1"/>
  <c r="S77" i="6" a="1"/>
  <c r="S77" i="6" s="1"/>
  <c r="S85" i="6" a="1"/>
  <c r="S85" i="6" s="1"/>
  <c r="S93" i="6" a="1"/>
  <c r="S93" i="6" s="1"/>
  <c r="S109" i="6" a="1"/>
  <c r="S109" i="6" s="1"/>
  <c r="S117" i="6" a="1"/>
  <c r="S117" i="6" s="1"/>
  <c r="S125" i="6" a="1"/>
  <c r="S125" i="6" s="1"/>
  <c r="S149" i="6" a="1"/>
  <c r="S149" i="6" s="1"/>
  <c r="R157" i="6"/>
  <c r="S165" i="6" a="1"/>
  <c r="S165" i="6" s="1"/>
  <c r="S202" i="6" a="1"/>
  <c r="S202" i="6" s="1"/>
  <c r="S3" i="6" a="1"/>
  <c r="S3" i="6" s="1"/>
  <c r="S64" i="6" a="1"/>
  <c r="S64" i="6" s="1"/>
  <c r="S72" i="6" a="1"/>
  <c r="S72" i="6" s="1"/>
  <c r="S88" i="6" a="1"/>
  <c r="S88" i="6" s="1"/>
  <c r="S96" i="6" a="1"/>
  <c r="S96" i="6" s="1"/>
  <c r="S104" i="6" a="1"/>
  <c r="S104" i="6" s="1"/>
  <c r="S99" i="6" a="1"/>
  <c r="S99" i="6" s="1"/>
  <c r="S10" i="6" a="1"/>
  <c r="S10" i="6" s="1"/>
  <c r="S26" i="6" a="1"/>
  <c r="S26" i="6" s="1"/>
  <c r="S127" i="6" a="1"/>
  <c r="S127" i="6" s="1"/>
  <c r="R151" i="6"/>
  <c r="R167" i="6"/>
  <c r="S220" i="6" a="1"/>
  <c r="S220" i="6" s="1"/>
  <c r="S123" i="6" a="1"/>
  <c r="S123" i="6" s="1"/>
  <c r="R74" i="6"/>
  <c r="R90" i="6"/>
  <c r="R98" i="6"/>
  <c r="R106" i="6"/>
  <c r="R122" i="6"/>
  <c r="R130" i="6"/>
  <c r="R154" i="6"/>
  <c r="R170" i="6"/>
  <c r="S226" i="6" a="1"/>
  <c r="S226" i="6" s="1"/>
  <c r="S24" i="6" a="1"/>
  <c r="S24" i="6" s="1"/>
  <c r="S9" i="6" a="1"/>
  <c r="S9" i="6" s="1"/>
  <c r="S11" i="6" a="1"/>
  <c r="S11" i="6" s="1"/>
  <c r="S33" i="6" a="1"/>
  <c r="S33" i="6" s="1"/>
  <c r="R46" i="6"/>
  <c r="S126" i="6" a="1"/>
  <c r="S126" i="6" s="1"/>
  <c r="R150" i="6"/>
  <c r="S166" i="6" a="1"/>
  <c r="S166" i="6" s="1"/>
  <c r="S295" i="6" a="1"/>
  <c r="S295" i="6" s="1"/>
  <c r="S298" i="6" a="1"/>
  <c r="S298" i="6" s="1"/>
  <c r="S178" i="6" a="1"/>
  <c r="S178" i="6" s="1"/>
  <c r="R30" i="6"/>
  <c r="S20" i="6" a="1"/>
  <c r="S20" i="6" s="1"/>
  <c r="S23" i="6" a="1"/>
  <c r="S23" i="6" s="1"/>
  <c r="R31" i="6"/>
  <c r="S39" i="6" a="1"/>
  <c r="S39" i="6" s="1"/>
  <c r="R44" i="6"/>
  <c r="S8" i="6" a="1"/>
  <c r="S8" i="6" s="1"/>
  <c r="R23" i="6"/>
  <c r="S67" i="6" a="1"/>
  <c r="S67" i="6" s="1"/>
  <c r="S83" i="6" a="1"/>
  <c r="S83" i="6" s="1"/>
  <c r="R91" i="6"/>
  <c r="S101" i="6" a="1"/>
  <c r="S101" i="6" s="1"/>
  <c r="S115" i="6" a="1"/>
  <c r="S115" i="6" s="1"/>
  <c r="S136" i="6" a="1"/>
  <c r="S136" i="6" s="1"/>
  <c r="R197" i="6"/>
  <c r="S210" i="6" a="1"/>
  <c r="S210" i="6" s="1"/>
  <c r="S270" i="6" a="1"/>
  <c r="S270" i="6" s="1"/>
  <c r="S294" i="6" a="1"/>
  <c r="S294" i="6" s="1"/>
  <c r="R6" i="6"/>
  <c r="S19" i="6" a="1"/>
  <c r="S19" i="6" s="1"/>
  <c r="S31" i="6" a="1"/>
  <c r="S31" i="6" s="1"/>
  <c r="S42" i="6" a="1"/>
  <c r="S42" i="6" s="1"/>
  <c r="S47" i="6" a="1"/>
  <c r="S47" i="6" s="1"/>
  <c r="R50" i="6"/>
  <c r="R52" i="6"/>
  <c r="R58" i="6"/>
  <c r="R68" i="6"/>
  <c r="S78" i="6" a="1"/>
  <c r="S78" i="6" s="1"/>
  <c r="S80" i="6" a="1"/>
  <c r="S80" i="6" s="1"/>
  <c r="S110" i="6" a="1"/>
  <c r="S110" i="6" s="1"/>
  <c r="S112" i="6" a="1"/>
  <c r="S112" i="6" s="1"/>
  <c r="R147" i="6"/>
  <c r="S186" i="6" a="1"/>
  <c r="S186" i="6" s="1"/>
  <c r="R213" i="6"/>
  <c r="R218" i="6"/>
  <c r="S241" i="6" a="1"/>
  <c r="S241" i="6" s="1"/>
  <c r="S283" i="6" a="1"/>
  <c r="S283" i="6" s="1"/>
  <c r="S286" i="6" a="1"/>
  <c r="S286" i="6" s="1"/>
  <c r="S289" i="6" a="1"/>
  <c r="S289" i="6" s="1"/>
  <c r="R284" i="6"/>
  <c r="S4" i="6" a="1"/>
  <c r="S4" i="6" s="1"/>
  <c r="S7" i="6" a="1"/>
  <c r="S7" i="6" s="1"/>
  <c r="R12" i="6"/>
  <c r="S35" i="6" a="1"/>
  <c r="S35" i="6" s="1"/>
  <c r="S56" i="6" a="1"/>
  <c r="S56" i="6" s="1"/>
  <c r="S58" i="6" a="1"/>
  <c r="S58" i="6" s="1"/>
  <c r="R66" i="6"/>
  <c r="R100" i="6"/>
  <c r="S190" i="6" a="1"/>
  <c r="S190" i="6" s="1"/>
  <c r="S234" i="6" a="1"/>
  <c r="S234" i="6" s="1"/>
  <c r="R271" i="6"/>
  <c r="R287" i="6"/>
  <c r="R15" i="6"/>
  <c r="S25" i="6" a="1"/>
  <c r="S25" i="6" s="1"/>
  <c r="S27" i="6" a="1"/>
  <c r="S27" i="6" s="1"/>
  <c r="S40" i="6" a="1"/>
  <c r="S40" i="6" s="1"/>
  <c r="S51" i="6" a="1"/>
  <c r="S51" i="6" s="1"/>
  <c r="R59" i="6"/>
  <c r="S79" i="6" a="1"/>
  <c r="S79" i="6" s="1"/>
  <c r="S111" i="6" a="1"/>
  <c r="S111" i="6" s="1"/>
  <c r="R124" i="6"/>
  <c r="R132" i="6"/>
  <c r="S156" i="6" a="1"/>
  <c r="S156" i="6" s="1"/>
  <c r="S158" i="6" a="1"/>
  <c r="S158" i="6" s="1"/>
  <c r="R177" i="6"/>
  <c r="R185" i="6"/>
  <c r="S198" i="6" a="1"/>
  <c r="S198" i="6" s="1"/>
  <c r="R201" i="6"/>
  <c r="S206" i="6" a="1"/>
  <c r="S206" i="6" s="1"/>
  <c r="R274" i="6"/>
  <c r="R282" i="6"/>
  <c r="R7" i="6"/>
  <c r="S43" i="6" a="1"/>
  <c r="S43" i="6" s="1"/>
  <c r="S69" i="6" a="1"/>
  <c r="S69" i="6" s="1"/>
  <c r="S98" i="6" a="1"/>
  <c r="S98" i="6" s="1"/>
  <c r="S135" i="6" a="1"/>
  <c r="S135" i="6" s="1"/>
  <c r="S140" i="6" a="1"/>
  <c r="S140" i="6" s="1"/>
  <c r="S193" i="6" a="1"/>
  <c r="S193" i="6" s="1"/>
  <c r="S222" i="6" a="1"/>
  <c r="S222" i="6" s="1"/>
  <c r="S290" i="6" a="1"/>
  <c r="S290" i="6" s="1"/>
  <c r="S15" i="6" a="1"/>
  <c r="S15" i="6" s="1"/>
  <c r="R18" i="6"/>
  <c r="S36" i="6" a="1"/>
  <c r="S36" i="6" s="1"/>
  <c r="S59" i="6" a="1"/>
  <c r="S59" i="6" s="1"/>
  <c r="S82" i="6" a="1"/>
  <c r="S82" i="6" s="1"/>
  <c r="R114" i="6"/>
  <c r="S138" i="6" a="1"/>
  <c r="S138" i="6" s="1"/>
  <c r="R141" i="6"/>
  <c r="S194" i="6" a="1"/>
  <c r="S194" i="6" s="1"/>
  <c r="R299" i="6"/>
  <c r="R10" i="6"/>
  <c r="S12" i="6" a="1"/>
  <c r="S12" i="6" s="1"/>
  <c r="S17" i="6" a="1"/>
  <c r="S17" i="6" s="1"/>
  <c r="S28" i="6" a="1"/>
  <c r="S28" i="6" s="1"/>
  <c r="S62" i="6" a="1"/>
  <c r="S62" i="6" s="1"/>
  <c r="S66" i="6" a="1"/>
  <c r="S66" i="6" s="1"/>
  <c r="R75" i="6"/>
  <c r="S94" i="6" a="1"/>
  <c r="S94" i="6" s="1"/>
  <c r="R107" i="6"/>
  <c r="S134" i="6" a="1"/>
  <c r="S134" i="6" s="1"/>
  <c r="S144" i="6" a="1"/>
  <c r="S144" i="6" s="1"/>
  <c r="S154" i="6" a="1"/>
  <c r="S154" i="6" s="1"/>
  <c r="S162" i="6" a="1"/>
  <c r="S162" i="6" s="1"/>
  <c r="S172" i="6" a="1"/>
  <c r="S172" i="6" s="1"/>
  <c r="R183" i="6"/>
  <c r="S201" i="6" a="1"/>
  <c r="S201" i="6" s="1"/>
  <c r="R209" i="6"/>
  <c r="S211" i="6" a="1"/>
  <c r="S211" i="6" s="1"/>
  <c r="S213" i="6" a="1"/>
  <c r="S213" i="6" s="1"/>
  <c r="S225" i="6" a="1"/>
  <c r="S225" i="6" s="1"/>
  <c r="R245" i="6"/>
  <c r="S252" i="6" a="1"/>
  <c r="S252" i="6" s="1"/>
  <c r="S267" i="6" a="1"/>
  <c r="S267" i="6" s="1"/>
  <c r="S279" i="6" a="1"/>
  <c r="S279" i="6" s="1"/>
  <c r="R290" i="6"/>
  <c r="R292" i="6"/>
  <c r="S297" i="6" a="1"/>
  <c r="S297" i="6" s="1"/>
  <c r="R3" i="6"/>
  <c r="S6" i="6" a="1"/>
  <c r="S6" i="6" s="1"/>
  <c r="R8" i="6"/>
  <c r="R19" i="6"/>
  <c r="S22" i="6" a="1"/>
  <c r="S22" i="6" s="1"/>
  <c r="R24" i="6"/>
  <c r="R26" i="6"/>
  <c r="R35" i="6"/>
  <c r="S38" i="6" a="1"/>
  <c r="S38" i="6" s="1"/>
  <c r="R40" i="6"/>
  <c r="R42" i="6"/>
  <c r="S46" i="6" a="1"/>
  <c r="S46" i="6" s="1"/>
  <c r="R60" i="6"/>
  <c r="S71" i="6" a="1"/>
  <c r="S71" i="6" s="1"/>
  <c r="R79" i="6"/>
  <c r="S90" i="6" a="1"/>
  <c r="S90" i="6" s="1"/>
  <c r="R92" i="6"/>
  <c r="S103" i="6" a="1"/>
  <c r="S103" i="6" s="1"/>
  <c r="S118" i="6" a="1"/>
  <c r="S118" i="6" s="1"/>
  <c r="S120" i="6" a="1"/>
  <c r="S120" i="6" s="1"/>
  <c r="R123" i="6"/>
  <c r="S130" i="6" a="1"/>
  <c r="S130" i="6" s="1"/>
  <c r="S137" i="6" a="1"/>
  <c r="S137" i="6" s="1"/>
  <c r="R145" i="6"/>
  <c r="S160" i="6" a="1"/>
  <c r="S160" i="6" s="1"/>
  <c r="R163" i="6"/>
  <c r="R173" i="6"/>
  <c r="R181" i="6"/>
  <c r="S185" i="6" a="1"/>
  <c r="S185" i="6" s="1"/>
  <c r="S192" i="6" a="1"/>
  <c r="S192" i="6" s="1"/>
  <c r="R202" i="6"/>
  <c r="R214" i="6"/>
  <c r="S218" i="6" a="1"/>
  <c r="S218" i="6" s="1"/>
  <c r="S230" i="6" a="1"/>
  <c r="S230" i="6" s="1"/>
  <c r="R268" i="6"/>
  <c r="R275" i="6"/>
  <c r="R280" i="6"/>
  <c r="S287" i="6" a="1"/>
  <c r="S287" i="6" s="1"/>
  <c r="S299" i="6" a="1"/>
  <c r="S299" i="6" s="1"/>
  <c r="S13" i="6" a="1"/>
  <c r="S13" i="6" s="1"/>
  <c r="S29" i="6" a="1"/>
  <c r="S29" i="6" s="1"/>
  <c r="S44" i="6" a="1"/>
  <c r="S44" i="6" s="1"/>
  <c r="S52" i="6" a="1"/>
  <c r="S52" i="6" s="1"/>
  <c r="S54" i="6" a="1"/>
  <c r="S54" i="6" s="1"/>
  <c r="R67" i="6"/>
  <c r="S86" i="6" a="1"/>
  <c r="S86" i="6" s="1"/>
  <c r="R99" i="6"/>
  <c r="R116" i="6"/>
  <c r="S128" i="6" a="1"/>
  <c r="S128" i="6" s="1"/>
  <c r="S142" i="6" a="1"/>
  <c r="S142" i="6" s="1"/>
  <c r="S153" i="6" a="1"/>
  <c r="S153" i="6" s="1"/>
  <c r="R166" i="6"/>
  <c r="S170" i="6" a="1"/>
  <c r="S170" i="6" s="1"/>
  <c r="R186" i="6"/>
  <c r="S197" i="6" a="1"/>
  <c r="S197" i="6" s="1"/>
  <c r="R241" i="6"/>
  <c r="S243" i="6" a="1"/>
  <c r="S243" i="6" s="1"/>
  <c r="S272" i="6" a="1"/>
  <c r="S272" i="6" s="1"/>
  <c r="R288" i="6"/>
  <c r="R295" i="6"/>
  <c r="R300" i="6"/>
  <c r="S2" i="6" a="1"/>
  <c r="S2" i="6" s="1"/>
  <c r="R4" i="6"/>
  <c r="S18" i="6" a="1"/>
  <c r="S18" i="6" s="1"/>
  <c r="R20" i="6"/>
  <c r="R22" i="6"/>
  <c r="S34" i="6" a="1"/>
  <c r="S34" i="6" s="1"/>
  <c r="R36" i="6"/>
  <c r="R38" i="6"/>
  <c r="R47" i="6"/>
  <c r="S49" i="6" a="1"/>
  <c r="S49" i="6" s="1"/>
  <c r="S63" i="6" a="1"/>
  <c r="S63" i="6" s="1"/>
  <c r="R71" i="6"/>
  <c r="S75" i="6" a="1"/>
  <c r="S75" i="6" s="1"/>
  <c r="R84" i="6"/>
  <c r="S95" i="6" a="1"/>
  <c r="S95" i="6" s="1"/>
  <c r="S107" i="6" a="1"/>
  <c r="S107" i="6" s="1"/>
  <c r="S114" i="6" a="1"/>
  <c r="S114" i="6" s="1"/>
  <c r="R133" i="6"/>
  <c r="R138" i="6"/>
  <c r="S150" i="6" a="1"/>
  <c r="S150" i="6" s="1"/>
  <c r="R161" i="6"/>
  <c r="S176" i="6" a="1"/>
  <c r="S176" i="6" s="1"/>
  <c r="R198" i="6"/>
  <c r="S209" i="6" a="1"/>
  <c r="S209" i="6" s="1"/>
  <c r="R234" i="6"/>
  <c r="S245" i="6" a="1"/>
  <c r="S245" i="6" s="1"/>
  <c r="R248" i="6"/>
  <c r="S253" i="6" a="1"/>
  <c r="S253" i="6" s="1"/>
  <c r="S275" i="6" a="1"/>
  <c r="S275" i="6" s="1"/>
  <c r="R278" i="6"/>
  <c r="R286" i="6"/>
  <c r="S293" i="6" a="1"/>
  <c r="S293" i="6" s="1"/>
  <c r="R298" i="6"/>
  <c r="S119" i="6" a="1"/>
  <c r="S119" i="6" s="1"/>
  <c r="R131" i="6"/>
  <c r="S169" i="6" a="1"/>
  <c r="S169" i="6" s="1"/>
  <c r="R182" i="6"/>
  <c r="R239" i="6"/>
  <c r="R246" i="6"/>
  <c r="R2" i="6"/>
  <c r="R11" i="6"/>
  <c r="S14" i="6" a="1"/>
  <c r="S14" i="6" s="1"/>
  <c r="R16" i="6"/>
  <c r="R27" i="6"/>
  <c r="S30" i="6" a="1"/>
  <c r="S30" i="6" s="1"/>
  <c r="R32" i="6"/>
  <c r="R34" i="6"/>
  <c r="R43" i="6"/>
  <c r="S55" i="6" a="1"/>
  <c r="S55" i="6" s="1"/>
  <c r="R63" i="6"/>
  <c r="R76" i="6"/>
  <c r="R82" i="6"/>
  <c r="S87" i="6" a="1"/>
  <c r="S87" i="6" s="1"/>
  <c r="S106" i="6" a="1"/>
  <c r="S106" i="6" s="1"/>
  <c r="R108" i="6"/>
  <c r="S227" i="6" a="1"/>
  <c r="S227" i="6" s="1"/>
  <c r="S229" i="6" a="1"/>
  <c r="S229" i="6" s="1"/>
  <c r="R232" i="6"/>
  <c r="R244" i="6"/>
  <c r="R251" i="6"/>
  <c r="S266" i="6" a="1"/>
  <c r="S266" i="6" s="1"/>
  <c r="S301" i="6" a="1"/>
  <c r="S301" i="6" s="1"/>
  <c r="S5" i="6" a="1"/>
  <c r="S5" i="6" s="1"/>
  <c r="R14" i="6"/>
  <c r="S16" i="6" a="1"/>
  <c r="S16" i="6" s="1"/>
  <c r="S21" i="6" a="1"/>
  <c r="S21" i="6" s="1"/>
  <c r="S32" i="6" a="1"/>
  <c r="S32" i="6" s="1"/>
  <c r="S37" i="6" a="1"/>
  <c r="S37" i="6" s="1"/>
  <c r="S48" i="6" a="1"/>
  <c r="S48" i="6" s="1"/>
  <c r="R55" i="6"/>
  <c r="S70" i="6" a="1"/>
  <c r="S70" i="6" s="1"/>
  <c r="S74" i="6" a="1"/>
  <c r="S74" i="6" s="1"/>
  <c r="R83" i="6"/>
  <c r="S102" i="6" a="1"/>
  <c r="S102" i="6" s="1"/>
  <c r="R115" i="6"/>
  <c r="S122" i="6" a="1"/>
  <c r="S122" i="6" s="1"/>
  <c r="S146" i="6" a="1"/>
  <c r="S146" i="6" s="1"/>
  <c r="S174" i="6" a="1"/>
  <c r="S174" i="6" s="1"/>
  <c r="S189" i="6" a="1"/>
  <c r="S189" i="6" s="1"/>
  <c r="S271" i="6" a="1"/>
  <c r="S271" i="6" s="1"/>
  <c r="R294" i="6"/>
  <c r="S91" i="6" a="1"/>
  <c r="S91" i="6" s="1"/>
  <c r="S131" i="6" a="1"/>
  <c r="S131" i="6" s="1"/>
  <c r="S182" i="6" a="1"/>
  <c r="S182" i="6" s="1"/>
  <c r="S246" i="6" a="1"/>
  <c r="S246" i="6" s="1"/>
  <c r="S276" i="6" a="1"/>
  <c r="S276" i="6" s="1"/>
  <c r="S291" i="6" a="1"/>
  <c r="S291" i="6" s="1"/>
  <c r="S50" i="6" a="1"/>
  <c r="S50" i="6" s="1"/>
  <c r="R191" i="6"/>
  <c r="S191" i="6" a="1"/>
  <c r="S191" i="6" s="1"/>
  <c r="R200" i="6"/>
  <c r="S200" i="6" a="1"/>
  <c r="S200" i="6" s="1"/>
  <c r="S233" i="6" a="1"/>
  <c r="S233" i="6" s="1"/>
  <c r="R233" i="6"/>
  <c r="R187" i="6"/>
  <c r="S187" i="6" a="1"/>
  <c r="S187" i="6" s="1"/>
  <c r="S205" i="6" a="1"/>
  <c r="S205" i="6" s="1"/>
  <c r="R205" i="6"/>
  <c r="R212" i="6"/>
  <c r="S212" i="6" a="1"/>
  <c r="S212" i="6" s="1"/>
  <c r="R219" i="6"/>
  <c r="S219" i="6" a="1"/>
  <c r="S219" i="6" s="1"/>
  <c r="R224" i="6"/>
  <c r="S224" i="6" a="1"/>
  <c r="S224" i="6" s="1"/>
  <c r="R57" i="6"/>
  <c r="R65" i="6"/>
  <c r="R73" i="6"/>
  <c r="R81" i="6"/>
  <c r="R87" i="6"/>
  <c r="R89" i="6"/>
  <c r="R95" i="6"/>
  <c r="R97" i="6"/>
  <c r="R103" i="6"/>
  <c r="R105" i="6"/>
  <c r="R111" i="6"/>
  <c r="R113" i="6"/>
  <c r="R119" i="6"/>
  <c r="R121" i="6"/>
  <c r="R127" i="6"/>
  <c r="R129" i="6"/>
  <c r="R196" i="6"/>
  <c r="S196" i="6" a="1"/>
  <c r="S196" i="6" s="1"/>
  <c r="S217" i="6" a="1"/>
  <c r="S217" i="6" s="1"/>
  <c r="R217" i="6"/>
  <c r="R229" i="6"/>
  <c r="R231" i="6"/>
  <c r="S231" i="6" a="1"/>
  <c r="S231" i="6" s="1"/>
  <c r="S236" i="6" a="1"/>
  <c r="S236" i="6" s="1"/>
  <c r="R179" i="6"/>
  <c r="S179" i="6" a="1"/>
  <c r="S179" i="6" s="1"/>
  <c r="R192" i="6"/>
  <c r="R203" i="6"/>
  <c r="S203" i="6" a="1"/>
  <c r="S203" i="6" s="1"/>
  <c r="R208" i="6"/>
  <c r="S208" i="6" a="1"/>
  <c r="S208" i="6" s="1"/>
  <c r="R5" i="6"/>
  <c r="R9" i="6"/>
  <c r="R13" i="6"/>
  <c r="R17" i="6"/>
  <c r="R21" i="6"/>
  <c r="R25" i="6"/>
  <c r="R29" i="6"/>
  <c r="R33" i="6"/>
  <c r="R37" i="6"/>
  <c r="R41" i="6"/>
  <c r="S45" i="6" a="1"/>
  <c r="S45" i="6" s="1"/>
  <c r="R48" i="6"/>
  <c r="R51" i="6"/>
  <c r="S60" i="6" a="1"/>
  <c r="S60" i="6" s="1"/>
  <c r="S68" i="6" a="1"/>
  <c r="S68" i="6" s="1"/>
  <c r="S76" i="6" a="1"/>
  <c r="S76" i="6" s="1"/>
  <c r="S84" i="6" a="1"/>
  <c r="S84" i="6" s="1"/>
  <c r="S92" i="6" a="1"/>
  <c r="S92" i="6" s="1"/>
  <c r="S100" i="6" a="1"/>
  <c r="S100" i="6" s="1"/>
  <c r="S108" i="6" a="1"/>
  <c r="S108" i="6" s="1"/>
  <c r="S116" i="6" a="1"/>
  <c r="S116" i="6" s="1"/>
  <c r="S124" i="6" a="1"/>
  <c r="S124" i="6" s="1"/>
  <c r="S132" i="6" a="1"/>
  <c r="S132" i="6" s="1"/>
  <c r="R139" i="6"/>
  <c r="S139" i="6" a="1"/>
  <c r="S139" i="6" s="1"/>
  <c r="R143" i="6"/>
  <c r="S143" i="6" a="1"/>
  <c r="S143" i="6" s="1"/>
  <c r="R155" i="6"/>
  <c r="S155" i="6" a="1"/>
  <c r="S155" i="6" s="1"/>
  <c r="R159" i="6"/>
  <c r="S159" i="6" a="1"/>
  <c r="S159" i="6" s="1"/>
  <c r="R171" i="6"/>
  <c r="S171" i="6" a="1"/>
  <c r="S171" i="6" s="1"/>
  <c r="R175" i="6"/>
  <c r="S175" i="6" a="1"/>
  <c r="S175" i="6" s="1"/>
  <c r="S181" i="6" a="1"/>
  <c r="S181" i="6" s="1"/>
  <c r="S183" i="6" a="1"/>
  <c r="S183" i="6" s="1"/>
  <c r="R188" i="6"/>
  <c r="S188" i="6" a="1"/>
  <c r="S188" i="6" s="1"/>
  <c r="R215" i="6"/>
  <c r="S215" i="6" a="1"/>
  <c r="S215" i="6" s="1"/>
  <c r="R53" i="6"/>
  <c r="R54" i="6"/>
  <c r="R56" i="6"/>
  <c r="S57" i="6" a="1"/>
  <c r="S57" i="6" s="1"/>
  <c r="R62" i="6"/>
  <c r="R64" i="6"/>
  <c r="S65" i="6" a="1"/>
  <c r="S65" i="6" s="1"/>
  <c r="R70" i="6"/>
  <c r="R72" i="6"/>
  <c r="S73" i="6" a="1"/>
  <c r="S73" i="6" s="1"/>
  <c r="R78" i="6"/>
  <c r="R80" i="6"/>
  <c r="S81" i="6" a="1"/>
  <c r="S81" i="6" s="1"/>
  <c r="R86" i="6"/>
  <c r="R88" i="6"/>
  <c r="S89" i="6" a="1"/>
  <c r="S89" i="6" s="1"/>
  <c r="R94" i="6"/>
  <c r="R96" i="6"/>
  <c r="S97" i="6" a="1"/>
  <c r="S97" i="6" s="1"/>
  <c r="R102" i="6"/>
  <c r="R104" i="6"/>
  <c r="S105" i="6" a="1"/>
  <c r="S105" i="6" s="1"/>
  <c r="R110" i="6"/>
  <c r="R112" i="6"/>
  <c r="S113" i="6" a="1"/>
  <c r="S113" i="6" s="1"/>
  <c r="R118" i="6"/>
  <c r="R120" i="6"/>
  <c r="S121" i="6" a="1"/>
  <c r="S121" i="6" s="1"/>
  <c r="R126" i="6"/>
  <c r="R128" i="6"/>
  <c r="S129" i="6" a="1"/>
  <c r="S129" i="6" s="1"/>
  <c r="S133" i="6" a="1"/>
  <c r="S133" i="6" s="1"/>
  <c r="R134" i="6"/>
  <c r="R136" i="6"/>
  <c r="R149" i="6"/>
  <c r="R153" i="6"/>
  <c r="R165" i="6"/>
  <c r="R169" i="6"/>
  <c r="R184" i="6"/>
  <c r="S184" i="6" a="1"/>
  <c r="S184" i="6" s="1"/>
  <c r="R199" i="6"/>
  <c r="S199" i="6" a="1"/>
  <c r="S199" i="6" s="1"/>
  <c r="S237" i="6" a="1"/>
  <c r="S237" i="6" s="1"/>
  <c r="R237" i="6"/>
  <c r="R61" i="6"/>
  <c r="R69" i="6"/>
  <c r="R77" i="6"/>
  <c r="R85" i="6"/>
  <c r="R93" i="6"/>
  <c r="R101" i="6"/>
  <c r="R109" i="6"/>
  <c r="R117" i="6"/>
  <c r="R125" i="6"/>
  <c r="S141" i="6" a="1"/>
  <c r="S141" i="6" s="1"/>
  <c r="S145" i="6" a="1"/>
  <c r="S145" i="6" s="1"/>
  <c r="S147" i="6" a="1"/>
  <c r="S147" i="6" s="1"/>
  <c r="S151" i="6" a="1"/>
  <c r="S151" i="6" s="1"/>
  <c r="S157" i="6" a="1"/>
  <c r="S157" i="6" s="1"/>
  <c r="S161" i="6" a="1"/>
  <c r="S161" i="6" s="1"/>
  <c r="S163" i="6" a="1"/>
  <c r="S163" i="6" s="1"/>
  <c r="S167" i="6" a="1"/>
  <c r="S167" i="6" s="1"/>
  <c r="S173" i="6" a="1"/>
  <c r="S173" i="6" s="1"/>
  <c r="S177" i="6" a="1"/>
  <c r="S177" i="6" s="1"/>
  <c r="R180" i="6"/>
  <c r="S180" i="6" a="1"/>
  <c r="S180" i="6" s="1"/>
  <c r="R204" i="6"/>
  <c r="R49" i="6"/>
  <c r="R140" i="6"/>
  <c r="R144" i="6"/>
  <c r="R146" i="6"/>
  <c r="R148" i="6"/>
  <c r="S148" i="6" a="1"/>
  <c r="S148" i="6" s="1"/>
  <c r="R152" i="6"/>
  <c r="S152" i="6" a="1"/>
  <c r="S152" i="6" s="1"/>
  <c r="R156" i="6"/>
  <c r="R160" i="6"/>
  <c r="R162" i="6"/>
  <c r="R164" i="6"/>
  <c r="S164" i="6" a="1"/>
  <c r="S164" i="6" s="1"/>
  <c r="R168" i="6"/>
  <c r="S168" i="6" a="1"/>
  <c r="S168" i="6" s="1"/>
  <c r="R172" i="6"/>
  <c r="R176" i="6"/>
  <c r="R178" i="6"/>
  <c r="R189" i="6"/>
  <c r="R193" i="6"/>
  <c r="R195" i="6"/>
  <c r="S195" i="6" a="1"/>
  <c r="S195" i="6" s="1"/>
  <c r="S221" i="6" a="1"/>
  <c r="S221" i="6" s="1"/>
  <c r="R221" i="6"/>
  <c r="R228" i="6"/>
  <c r="S228" i="6" a="1"/>
  <c r="S228" i="6" s="1"/>
  <c r="R235" i="6"/>
  <c r="S235" i="6" a="1"/>
  <c r="S235" i="6" s="1"/>
  <c r="R240" i="6"/>
  <c r="S240" i="6" a="1"/>
  <c r="S240" i="6" s="1"/>
  <c r="R247" i="6"/>
  <c r="R256" i="6"/>
  <c r="R258" i="6"/>
  <c r="R260" i="6"/>
  <c r="R262" i="6"/>
  <c r="R264" i="6"/>
  <c r="R266" i="6"/>
  <c r="S278" i="6" a="1"/>
  <c r="S278" i="6" s="1"/>
  <c r="S280" i="6" a="1"/>
  <c r="S280" i="6" s="1"/>
  <c r="R283" i="6"/>
  <c r="S285" i="6" a="1"/>
  <c r="S285" i="6" s="1"/>
  <c r="R194" i="6"/>
  <c r="S204" i="6" a="1"/>
  <c r="S204" i="6" s="1"/>
  <c r="R210" i="6"/>
  <c r="R226" i="6"/>
  <c r="R242" i="6"/>
  <c r="S274" i="6" a="1"/>
  <c r="S274" i="6" s="1"/>
  <c r="R279" i="6"/>
  <c r="S281" i="6" a="1"/>
  <c r="S281" i="6" s="1"/>
  <c r="R281" i="6"/>
  <c r="S277" i="6" a="1"/>
  <c r="S277" i="6" s="1"/>
  <c r="R277" i="6"/>
  <c r="S247" i="6" a="1"/>
  <c r="S247" i="6" s="1"/>
  <c r="R249" i="6"/>
  <c r="S256" i="6" a="1"/>
  <c r="S256" i="6" s="1"/>
  <c r="S258" i="6" a="1"/>
  <c r="S258" i="6" s="1"/>
  <c r="S260" i="6" a="1"/>
  <c r="S260" i="6" s="1"/>
  <c r="S262" i="6" a="1"/>
  <c r="S262" i="6" s="1"/>
  <c r="S264" i="6" a="1"/>
  <c r="S264" i="6" s="1"/>
  <c r="S273" i="6" a="1"/>
  <c r="S273" i="6" s="1"/>
  <c r="R273" i="6"/>
  <c r="R207" i="6"/>
  <c r="R216" i="6"/>
  <c r="R223" i="6"/>
  <c r="R255" i="6"/>
  <c r="R257" i="6"/>
  <c r="R259" i="6"/>
  <c r="R261" i="6"/>
  <c r="R263" i="6"/>
  <c r="R265" i="6"/>
  <c r="R267" i="6"/>
  <c r="S269" i="6" a="1"/>
  <c r="S269" i="6" s="1"/>
  <c r="R269" i="6"/>
  <c r="R135" i="6"/>
  <c r="S244" i="6" a="1"/>
  <c r="S244" i="6" s="1"/>
  <c r="R250" i="6"/>
  <c r="S251" i="6" a="1"/>
  <c r="S251" i="6" s="1"/>
  <c r="R253" i="6"/>
  <c r="R211" i="6"/>
  <c r="R220" i="6"/>
  <c r="R227" i="6"/>
  <c r="R236" i="6"/>
  <c r="R243" i="6"/>
  <c r="R252" i="6"/>
  <c r="R142" i="6"/>
  <c r="R158" i="6"/>
  <c r="R174" i="6"/>
  <c r="R190" i="6"/>
  <c r="R206" i="6"/>
  <c r="S207" i="6" a="1"/>
  <c r="S207" i="6" s="1"/>
  <c r="S216" i="6" a="1"/>
  <c r="S216" i="6" s="1"/>
  <c r="R222" i="6"/>
  <c r="S223" i="6" a="1"/>
  <c r="S223" i="6" s="1"/>
  <c r="S232" i="6" a="1"/>
  <c r="S232" i="6" s="1"/>
  <c r="R238" i="6"/>
  <c r="S239" i="6" a="1"/>
  <c r="S239" i="6" s="1"/>
  <c r="S248" i="6" a="1"/>
  <c r="S248" i="6" s="1"/>
  <c r="R254" i="6"/>
  <c r="S255" i="6" a="1"/>
  <c r="S255" i="6" s="1"/>
  <c r="S257" i="6" a="1"/>
  <c r="S257" i="6" s="1"/>
  <c r="S259" i="6" a="1"/>
  <c r="S259" i="6" s="1"/>
  <c r="S261" i="6" a="1"/>
  <c r="S261" i="6" s="1"/>
  <c r="S263" i="6" a="1"/>
  <c r="S263" i="6" s="1"/>
  <c r="S265" i="6" a="1"/>
  <c r="S265" i="6" s="1"/>
  <c r="R270" i="6"/>
  <c r="S282" i="6" a="1"/>
  <c r="S282" i="6" s="1"/>
  <c r="S284" i="6" a="1"/>
  <c r="S284" i="6" s="1"/>
  <c r="S288" i="6" a="1"/>
  <c r="S288" i="6" s="1"/>
  <c r="S292" i="6" a="1"/>
  <c r="S292" i="6" s="1"/>
  <c r="S296" i="6" a="1"/>
  <c r="S296" i="6" s="1"/>
  <c r="S300" i="6" a="1"/>
  <c r="S300" i="6" s="1"/>
  <c r="R285" i="6"/>
  <c r="R289" i="6"/>
  <c r="R293" i="6"/>
  <c r="R297" i="6"/>
  <c r="R30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<sst xmlns="http://schemas.openxmlformats.org/spreadsheetml/2006/main" count="5510" uniqueCount="471">
  <si>
    <t>Sheet</t>
  </si>
  <si>
    <t>Purpose</t>
  </si>
  <si>
    <t>Dataset_A_Customers</t>
  </si>
  <si>
    <t>Customer segmentation, CRM prioritisation, retention/value analysis</t>
  </si>
  <si>
    <t>Dataset_B_Channels</t>
  </si>
  <si>
    <t>Digital KPI diagnosis, channel efficiency, budget allocation</t>
  </si>
  <si>
    <t>Dataset_C_Sales</t>
  </si>
  <si>
    <t>Forecasting, sales planning, demand trend analysis</t>
  </si>
  <si>
    <t>Customer_ID</t>
  </si>
  <si>
    <t>Acquisition_Channel</t>
  </si>
  <si>
    <t>Total_Spend_12M_GBP</t>
  </si>
  <si>
    <t>Number_of_Orders_12M</t>
  </si>
  <si>
    <t>Average_Order_Value_GBP</t>
  </si>
  <si>
    <t>Days_Since_Last_Purchase</t>
  </si>
  <si>
    <t>Discount_Usage_Rate_Pct</t>
  </si>
  <si>
    <t>Product_Category_Breadth</t>
  </si>
  <si>
    <t>Subscription_Status</t>
  </si>
  <si>
    <t>Subscription_Tenure_Months</t>
  </si>
  <si>
    <t>Email_Open_Rate_Pct</t>
  </si>
  <si>
    <t>Email_Click_Rate_Pct</t>
  </si>
  <si>
    <t>Region</t>
  </si>
  <si>
    <t>Age_Band</t>
  </si>
  <si>
    <t>C0001</t>
  </si>
  <si>
    <t>Paid Search</t>
  </si>
  <si>
    <t>Yes</t>
  </si>
  <si>
    <t>London</t>
  </si>
  <si>
    <t>18-24</t>
  </si>
  <si>
    <t>C0002</t>
  </si>
  <si>
    <t>Referral</t>
  </si>
  <si>
    <t>South East</t>
  </si>
  <si>
    <t>35-44</t>
  </si>
  <si>
    <t>C0003</t>
  </si>
  <si>
    <t>Organic</t>
  </si>
  <si>
    <t>No</t>
  </si>
  <si>
    <t>C0004</t>
  </si>
  <si>
    <t>Influencer</t>
  </si>
  <si>
    <t>C0005</t>
  </si>
  <si>
    <t>Paid Social</t>
  </si>
  <si>
    <t>C0006</t>
  </si>
  <si>
    <t>Midlands</t>
  </si>
  <si>
    <t>55+</t>
  </si>
  <si>
    <t>C0007</t>
  </si>
  <si>
    <t>C0008</t>
  </si>
  <si>
    <t>25-34</t>
  </si>
  <si>
    <t>C0009</t>
  </si>
  <si>
    <t>45-54</t>
  </si>
  <si>
    <t>C0010</t>
  </si>
  <si>
    <t>North</t>
  </si>
  <si>
    <t>C0011</t>
  </si>
  <si>
    <t>C0012</t>
  </si>
  <si>
    <t>C0013</t>
  </si>
  <si>
    <t>C0014</t>
  </si>
  <si>
    <t>C0015</t>
  </si>
  <si>
    <t>Scotland</t>
  </si>
  <si>
    <t>C0016</t>
  </si>
  <si>
    <t>Wales</t>
  </si>
  <si>
    <t>C0017</t>
  </si>
  <si>
    <t>C0018</t>
  </si>
  <si>
    <t>Email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</si>
  <si>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</si>
  <si>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</si>
  <si>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</si>
  <si>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</si>
  <si>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</si>
  <si>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</si>
  <si>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</si>
  <si>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</si>
  <si>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</si>
  <si>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</si>
  <si>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</si>
  <si>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</si>
  <si>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</si>
  <si>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</si>
  <si>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</si>
  <si>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</si>
  <si>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</si>
  <si>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</si>
  <si>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</si>
  <si>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</si>
  <si>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</si>
  <si>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</si>
  <si>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</si>
  <si>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</si>
  <si>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</si>
  <si>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</si>
  <si>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</si>
  <si>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</si>
  <si>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</si>
  <si>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</si>
  <si>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</si>
  <si>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</si>
  <si>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</si>
  <si>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</si>
  <si>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</si>
  <si>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</si>
  <si>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</si>
  <si>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</si>
  <si>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</si>
  <si>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</si>
  <si>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</si>
  <si>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</si>
  <si>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</si>
  <si>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</si>
  <si>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</si>
  <si>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</si>
  <si>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</si>
  <si>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</si>
  <si>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</si>
  <si>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</si>
  <si>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</si>
  <si>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</si>
  <si>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</si>
  <si>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</si>
  <si>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</si>
  <si>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</si>
  <si>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</si>
  <si>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</si>
  <si>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</si>
  <si>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</si>
  <si>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</si>
  <si>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</si>
  <si>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</si>
  <si>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</si>
  <si>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</si>
  <si>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</si>
  <si>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</si>
  <si>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</si>
  <si>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</si>
  <si>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</si>
  <si>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</si>
  <si>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</si>
  <si>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</si>
  <si>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</si>
  <si>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</si>
  <si>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</si>
  <si>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</si>
  <si>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</si>
  <si>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</si>
  <si>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</si>
  <si>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</si>
  <si>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</si>
  <si>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</si>
  <si>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</si>
  <si>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</si>
  <si>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</si>
  <si>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</si>
  <si>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</si>
  <si>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</si>
  <si>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</si>
  <si>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</si>
  <si>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</si>
  <si>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</si>
  <si>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</si>
  <si>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</si>
  <si>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</si>
  <si>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</si>
  <si>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</si>
  <si>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</si>
  <si>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</si>
  <si>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</si>
  <si>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</si>
  <si>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</si>
  <si>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</si>
  <si>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</si>
  <si>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</si>
  <si>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</si>
  <si>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</si>
  <si>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</si>
  <si>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</si>
  <si>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</si>
  <si>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</si>
  <si>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</si>
  <si>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</si>
  <si>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</si>
  <si>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</si>
  <si>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</si>
  <si>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</si>
  <si>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</si>
  <si>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</si>
  <si>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</si>
  <si>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</si>
  <si>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</si>
  <si>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</si>
  <si>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</si>
  <si>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</si>
  <si>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</si>
  <si>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</si>
  <si>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</si>
  <si>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</si>
  <si>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</si>
  <si>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</si>
  <si>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</si>
  <si>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</si>
  <si>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</si>
  <si>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</si>
  <si>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</si>
  <si>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</si>
  <si>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</si>
  <si>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</si>
  <si>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</si>
  <si>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</si>
  <si>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</si>
  <si>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</si>
  <si>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</si>
  <si>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</si>
  <si>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</si>
  <si>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</si>
  <si>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</si>
  <si>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</si>
  <si>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</si>
  <si>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</si>
  <si>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</si>
  <si>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</si>
  <si>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</si>
  <si>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</si>
  <si>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</si>
  <si>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</si>
  <si>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</si>
  <si>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</si>
  <si>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</si>
  <si>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</si>
  <si>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</si>
  <si>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</si>
  <si>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</si>
  <si>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</si>
  <si>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</si>
  <si>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</si>
  <si>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</si>
  <si>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</si>
  <si>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</si>
  <si>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</si>
  <si>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</si>
  <si>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</si>
  <si>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</si>
  <si>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</si>
  <si>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</si>
  <si>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</si>
  <si>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</si>
  <si>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</si>
  <si>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</si>
  <si>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</si>
  <si>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</si>
  <si>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</si>
  <si>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</si>
  <si>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</si>
  <si>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</si>
  <si>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</si>
  <si>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</si>
  <si>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</si>
  <si>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</si>
  <si>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</si>
  <si>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</si>
  <si>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</si>
  <si>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</si>
  <si>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</si>
  <si>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</si>
  <si>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</si>
  <si>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</si>
  <si>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</si>
  <si>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</si>
  <si>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</si>
  <si>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</si>
  <si>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</si>
  <si>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</si>
  <si>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</si>
  <si>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</si>
  <si>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</si>
  <si>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</si>
  <si>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</si>
  <si>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</si>
  <si>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</si>
  <si>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</si>
  <si>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</si>
  <si>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</si>
  <si>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</si>
  <si>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</si>
  <si>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</si>
  <si>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</si>
  <si>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</si>
  <si>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</si>
  <si>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</si>
  <si>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</si>
  <si>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</si>
  <si>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</si>
  <si>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</si>
  <si>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</si>
  <si>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</si>
  <si>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</si>
  <si>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</si>
  <si>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</si>
  <si>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</si>
  <si>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</si>
  <si>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</si>
  <si>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</si>
  <si>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</si>
  <si>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</si>
  <si>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</si>
  <si>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</si>
  <si>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</si>
  <si>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</si>
  <si>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</si>
  <si>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</si>
  <si>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</si>
  <si>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</si>
  <si>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</si>
  <si>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</si>
  <si>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</si>
  <si>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</si>
  <si>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</si>
  <si>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</si>
  <si>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</si>
  <si>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</si>
  <si>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</si>
  <si>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</si>
  <si>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</si>
  <si>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</si>
  <si>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</si>
  <si>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</si>
  <si>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</si>
  <si>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</si>
  <si>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</si>
  <si>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</si>
  <si>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</si>
  <si>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</si>
  <si>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</si>
  <si>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</si>
  <si>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</si>
  <si>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</si>
  <si>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</si>
  <si>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</si>
  <si>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</si>
  <si>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</si>
  <si>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</si>
  <si>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</si>
  <si>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</si>
  <si>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</si>
  <si>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</si>
  <si>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</si>
  <si>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</si>
  <si>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</si>
  <si>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</si>
  <si>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Month</t>
  </si>
  <si>
    <t>Channel</t>
  </si>
  <si>
    <t>Impressions</t>
  </si>
  <si>
    <t>Clicks</t>
  </si>
  <si>
    <t>CTR_Pct</t>
  </si>
  <si>
    <t>Spend_GBP</t>
  </si>
  <si>
    <t>CPC_GBP</t>
  </si>
  <si>
    <t>Conversions</t>
  </si>
  <si>
    <t>Conversion_Rate_Pct</t>
  </si>
  <si>
    <t>Revenue_GBP</t>
  </si>
  <si>
    <t>ROAS</t>
  </si>
  <si>
    <t>CAC_GBP</t>
  </si>
  <si>
    <t>New_Customers_Acquired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</si>
  <si>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</si>
  <si>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</si>
  <si>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</si>
  <si>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</si>
  <si>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</si>
  <si>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</si>
  <si>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</si>
  <si>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</si>
  <si>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</si>
  <si>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</si>
  <si>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</si>
  <si>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</si>
  <si>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</si>
  <si>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</si>
  <si>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</si>
  <si>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</si>
  <si>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</si>
  <si>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</si>
  <si>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</si>
  <si>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</si>
  <si>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</si>
  <si>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</si>
  <si>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</si>
  <si>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</si>
  <si>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Orders</t>
  </si>
  <si>
    <t>New_Customers</t>
  </si>
  <si>
    <t>Repeat_Customers</t>
  </si>
  <si>
    <t>Subscription_Revenue_GBP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</si>
  <si>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</si>
  <si>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</si>
  <si>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</si>
  <si>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</si>
  <si>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</si>
  <si>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</si>
  <si>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</si>
  <si>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</si>
  <si>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</si>
  <si>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</si>
  <si>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</si>
  <si>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</si>
  <si>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</si>
  <si>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</si>
  <si>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</si>
  <si>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</si>
  <si>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</si>
  <si>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</si>
  <si>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</si>
  <si>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</si>
  <si>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</si>
  <si>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</si>
  <si>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</si>
  <si>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</si>
  <si>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Variables include:</t>
  </si>
  <si>
    <t>acquisition channel</t>
  </si>
  <si>
    <t>total spend</t>
  </si>
  <si>
    <t>number of orders</t>
  </si>
  <si>
    <t>average order value</t>
  </si>
  <si>
    <t>days since last purchase</t>
  </si>
  <si>
    <t>discount usage</t>
  </si>
  <si>
    <t>product category breadth</t>
  </si>
  <si>
    <t>subscription status / tenure</t>
  </si>
  <si>
    <t>email engagement</t>
  </si>
  <si>
    <t>region</t>
  </si>
  <si>
    <t>age band</t>
  </si>
  <si>
    <t>impressions</t>
  </si>
  <si>
    <t>clicks</t>
  </si>
  <si>
    <t>CTR</t>
  </si>
  <si>
    <t>spend</t>
  </si>
  <si>
    <t>CPC</t>
  </si>
  <si>
    <t>conversions</t>
  </si>
  <si>
    <t>conversion rate</t>
  </si>
  <si>
    <t>revenue</t>
  </si>
  <si>
    <t>CAC</t>
  </si>
  <si>
    <t>new customers acquired</t>
  </si>
  <si>
    <t>orders</t>
  </si>
  <si>
    <t>new customers</t>
  </si>
  <si>
    <t>repeat customers</t>
  </si>
  <si>
    <t>subscription revenue</t>
  </si>
  <si>
    <r>
      <t>300 customers</t>
    </r>
    <r>
      <rPr>
        <sz val="14"/>
        <color rgb="FF000000"/>
        <rFont val="Calibri"/>
        <family val="2"/>
        <scheme val="minor"/>
      </rPr>
      <t> for:</t>
    </r>
  </si>
  <si>
    <r>
      <t>24 months × 5 channels = 120 rows</t>
    </r>
    <r>
      <rPr>
        <sz val="14"/>
        <color rgb="FF000000"/>
        <rFont val="Calibri"/>
        <family val="2"/>
        <scheme val="minor"/>
      </rPr>
      <t> for:</t>
    </r>
  </si>
  <si>
    <r>
      <t>36 months</t>
    </r>
    <r>
      <rPr>
        <sz val="14"/>
        <color rgb="FF000000"/>
        <rFont val="Calibri"/>
        <family val="2"/>
        <scheme val="minor"/>
      </rPr>
      <t> for:</t>
    </r>
  </si>
  <si>
    <t>R_score</t>
  </si>
  <si>
    <t>F_score</t>
  </si>
  <si>
    <t>M_score</t>
  </si>
  <si>
    <t>RFM_code</t>
  </si>
  <si>
    <t>RFM_segment</t>
  </si>
  <si>
    <t>Row Labels</t>
  </si>
  <si>
    <t>At Risk Loyalists</t>
  </si>
  <si>
    <t>Big Spenders</t>
  </si>
  <si>
    <t>Champions</t>
  </si>
  <si>
    <t>Lost / Dormant</t>
  </si>
  <si>
    <t>Loyal Customers</t>
  </si>
  <si>
    <t>New / Promising</t>
  </si>
  <si>
    <t>Regular Customers</t>
  </si>
  <si>
    <t>Grand Total</t>
  </si>
  <si>
    <t>Average of Total_Spend_12M_GBP</t>
  </si>
  <si>
    <t>Average of Number_of_Orders_12M</t>
  </si>
  <si>
    <t>Average of Average_Order_Value_GBP</t>
  </si>
  <si>
    <t>Average of Days_Since_Last_Purchase</t>
  </si>
  <si>
    <t>Average of Discount_Usage_Rate_Pct</t>
  </si>
  <si>
    <t>Average of Email_Open_Rate_Pct</t>
  </si>
  <si>
    <t>Count of Customer_ID</t>
  </si>
  <si>
    <t>Column Labels</t>
  </si>
  <si>
    <t>% Champions</t>
  </si>
  <si>
    <t xml:space="preserve">KPIs Table </t>
  </si>
  <si>
    <t xml:space="preserve">Channel </t>
  </si>
  <si>
    <t xml:space="preserve">Average ROAS </t>
  </si>
  <si>
    <t xml:space="preserve">Influencer </t>
  </si>
  <si>
    <t xml:space="preserve">Organic </t>
  </si>
  <si>
    <t xml:space="preserve">Summary Table </t>
  </si>
  <si>
    <t>Average CAC (GBP)</t>
  </si>
  <si>
    <t>% of Subscriptions</t>
  </si>
  <si>
    <t>% of Champions</t>
  </si>
  <si>
    <t>n/a*</t>
  </si>
  <si>
    <t>*Referral is not present in Dataset B</t>
  </si>
  <si>
    <t xml:space="preserve">Segment Profiles </t>
  </si>
  <si>
    <t>Channels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</si>
</sst>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.00_-;\-[$£-809]* #,##0.00_-;_-[$£-809]* &quot;-&quot;??_-;_-@_-"/>
  </numFmts>
  <fonts count="13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CE6F1"/>
        <bgColor rgb="FFDCE6F1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rgb="FF95B3D7"/>
      </bottom>
      <diagonal/>
    </border>
    <border>
      <left/>
      <right/>
      <top style="thin">
        <color rgb="FF95B3D7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48">
    <xf numFmtId="0" fontId="0" fillId="0" borderId="0" xfId="0"/>
    <xf numFmtId="0" fontId="1" fillId="3" borderId="10" xfId="0" applyFont="1" applyFill="1" applyBorder="1" applyAlignment="1">
      <alignment horizontal="center" vertical="top"/>
    </xf>
    <xf numFmtId="0" fontId="1" fillId="3" borderId="11" xfId="0" applyFont="1" applyFill="1" applyBorder="1" applyAlignment="1">
      <alignment horizontal="center" vertical="top"/>
    </xf>
    <xf numFmtId="0" fontId="2" fillId="5" borderId="6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4" borderId="12" xfId="0" applyFont="1" applyFill="1" applyBorder="1"/>
    <xf numFmtId="0" fontId="2" fillId="4" borderId="4" xfId="0" applyFont="1" applyFill="1" applyBorder="1"/>
    <xf numFmtId="0" fontId="4" fillId="0" borderId="13" xfId="0" applyFont="1" applyBorder="1"/>
    <xf numFmtId="0" fontId="4" fillId="0" borderId="6" xfId="0" applyFont="1" applyBorder="1"/>
    <xf numFmtId="0" fontId="3" fillId="0" borderId="13" xfId="0" applyFont="1" applyBorder="1"/>
    <xf numFmtId="0" fontId="3" fillId="0" borderId="6" xfId="0" applyFont="1" applyBorder="1"/>
    <xf numFmtId="0" fontId="4" fillId="0" borderId="14" xfId="0" applyFont="1" applyBorder="1"/>
    <xf numFmtId="0" fontId="4" fillId="0" borderId="8" xfId="0" applyFont="1" applyBorder="1"/>
    <xf numFmtId="0" fontId="4" fillId="0" borderId="4" xfId="0" applyFont="1" applyBorder="1"/>
    <xf numFmtId="0" fontId="5" fillId="0" borderId="3" xfId="0" applyFont="1" applyBorder="1"/>
    <xf numFmtId="0" fontId="5" fillId="0" borderId="5" xfId="0" applyFont="1" applyBorder="1"/>
    <xf numFmtId="0" fontId="5" fillId="0" borderId="7" xfId="0" applyFont="1" applyBorder="1"/>
    <xf numFmtId="0" fontId="6" fillId="2" borderId="2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4" fillId="0" borderId="0" xfId="0" applyFont="1"/>
    <xf numFmtId="0" fontId="7" fillId="0" borderId="1" xfId="0" applyFont="1" applyBorder="1" applyAlignment="1">
      <alignment horizontal="center" vertical="top" wrapText="1"/>
    </xf>
    <xf numFmtId="0" fontId="4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9" fillId="0" borderId="0" xfId="0" applyFont="1"/>
    <xf numFmtId="10" fontId="0" fillId="0" borderId="0" xfId="0" applyNumberFormat="1"/>
    <xf numFmtId="0" fontId="9" fillId="0" borderId="0" xfId="0" applyFont="1" applyAlignment="1">
      <alignment horizontal="left"/>
    </xf>
    <xf numFmtId="2" fontId="0" fillId="0" borderId="0" xfId="0" applyNumberFormat="1"/>
    <xf numFmtId="164" fontId="0" fillId="7" borderId="15" xfId="0" applyNumberFormat="1" applyFill="1" applyBorder="1"/>
    <xf numFmtId="164" fontId="0" fillId="6" borderId="15" xfId="0" applyNumberFormat="1" applyFill="1" applyBorder="1"/>
    <xf numFmtId="0" fontId="0" fillId="6" borderId="16" xfId="0" applyFill="1" applyBorder="1" applyAlignment="1">
      <alignment horizontal="right"/>
    </xf>
    <xf numFmtId="164" fontId="7" fillId="0" borderId="1" xfId="0" applyNumberFormat="1" applyFont="1" applyBorder="1" applyAlignment="1">
      <alignment horizontal="center" vertical="top"/>
    </xf>
    <xf numFmtId="10" fontId="0" fillId="0" borderId="0" xfId="1" applyNumberFormat="1" applyFont="1"/>
    <xf numFmtId="0" fontId="11" fillId="8" borderId="0" xfId="0" applyFont="1" applyFill="1"/>
    <xf numFmtId="0" fontId="11" fillId="0" borderId="0" xfId="0" applyFont="1"/>
    <xf numFmtId="0" fontId="12" fillId="0" borderId="0" xfId="0" applyFont="1"/>
    <xf numFmtId="0" fontId="11" fillId="8" borderId="17" xfId="0" applyFont="1" applyFill="1" applyBorder="1"/>
    <xf numFmtId="0" fontId="12" fillId="0" borderId="0" xfId="0" applyFont="1" applyAlignment="1">
      <alignment horizontal="left"/>
    </xf>
    <xf numFmtId="10" fontId="12" fillId="0" borderId="0" xfId="0" applyNumberFormat="1" applyFont="1"/>
    <xf numFmtId="0" fontId="11" fillId="8" borderId="18" xfId="0" applyFont="1" applyFill="1" applyBorder="1" applyAlignment="1">
      <alignment horizontal="left"/>
    </xf>
    <xf numFmtId="0" fontId="11" fillId="8" borderId="18" xfId="0" applyFont="1" applyFill="1" applyBorder="1"/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41">
    <dxf>
      <numFmt numFmtId="14" formatCode="0.00%"/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_-[$£-809]* #,##0.00_-;\-[$£-809]* #,##0.00_-;_-[$£-809]* &quot;-&quot;??_-;_-@_-"/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_-[$£-809]* #,##0.00_-;\-[$£-809]* #,##0.00_-;_-[$£-809]* &quot;-&quot;??_-;_-@_-"/>
    </dxf>
    <dxf>
      <alignment horizontal="right"/>
    </dxf>
    <dxf>
      <numFmt numFmtId="164" formatCode="_-[$£-809]* #,##0.00_-;\-[$£-809]* #,##0.00_-;_-[$£-809]* &quot;-&quot;??_-;_-@_-"/>
    </dxf>
    <dxf>
      <numFmt numFmtId="14" formatCode="0.00%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164" formatCode="_-[$£-809]* #,##0.00_-;\-[$£-809]* #,##0.00_-;_-[$£-809]* &quot;-&quot;??_-;_-@_-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_-[$£-809]* #,##0.00_-;\-[$£-809]* #,##0.00_-;_-[$£-809]* &quot;-&quot;??_-;_-@_-"/>
    </dxf>
    <dxf>
      <alignment horizontal="right"/>
    </dxf>
    <dxf>
      <numFmt numFmtId="164" formatCode="_-[$£-809]* #,##0.00_-;\-[$£-809]* #,##0.00_-;_-[$£-809]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Channel Efficiency: % Champions vs Average CAC (£)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'Channels Analysis'!$P$24</c:f>
              <c:strCache>
                <c:ptCount val="1"/>
                <c:pt idx="0">
                  <c:v>Average CAC (GBP)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'Channels Analysis'!$O$25:$O$30</c:f>
              <c:strCache>
                <c:ptCount val="6"/>
                <c:pt idx="0">
                  <c:v>Email</c:v>
                </c:pt>
                <c:pt idx="1">
                  <c:v>Influencer</c:v>
                </c:pt>
                <c:pt idx="2">
                  <c:v>Organic</c:v>
                </c:pt>
                <c:pt idx="3">
                  <c:v>Paid Search</c:v>
                </c:pt>
                <c:pt idx="4">
                  <c:v>Paid Social</c:v>
                </c:pt>
                <c:pt idx="5">
                  <c:v>Referral</c:v>
                </c:pt>
              </c:strCache>
            </c:strRef>
          </c:cat>
          <c:val>
            <c:numRef>
              <c:f>'Channels Analysis'!$P$25:$P$30</c:f>
              <c:numCache>
                <c:formatCode>_-[$£-809]* #.##000_-;\-[$£-809]* #.##000_-;_-[$£-809]* "-"??_-;_-@_-</c:formatCode>
                <c:ptCount val="6"/>
                <c:pt idx="0">
                  <c:v>1.91</c:v>
                </c:pt>
                <c:pt idx="1">
                  <c:v>60.42</c:v>
                </c:pt>
                <c:pt idx="2">
                  <c:v>1.98</c:v>
                </c:pt>
                <c:pt idx="3">
                  <c:v>44.09</c:v>
                </c:pt>
                <c:pt idx="4">
                  <c:v>47.85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8-2F43-8561-015B72A31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5263551"/>
        <c:axId val="2074181935"/>
      </c:barChart>
      <c:lineChart>
        <c:grouping val="standard"/>
        <c:varyColors val="0"/>
        <c:ser>
          <c:idx val="1"/>
          <c:order val="1"/>
          <c:tx>
            <c:strRef>
              <c:f>'Channels Analysis'!$Q$24</c:f>
              <c:strCache>
                <c:ptCount val="1"/>
                <c:pt idx="0">
                  <c:v>% Champions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'Channels Analysis'!$O$25:$O$30</c:f>
              <c:strCache>
                <c:ptCount val="6"/>
                <c:pt idx="0">
                  <c:v>Email</c:v>
                </c:pt>
                <c:pt idx="1">
                  <c:v>Influencer</c:v>
                </c:pt>
                <c:pt idx="2">
                  <c:v>Organic</c:v>
                </c:pt>
                <c:pt idx="3">
                  <c:v>Paid Search</c:v>
                </c:pt>
                <c:pt idx="4">
                  <c:v>Paid Social</c:v>
                </c:pt>
                <c:pt idx="5">
                  <c:v>Referral</c:v>
                </c:pt>
              </c:strCache>
            </c:strRef>
          </c:cat>
          <c:val>
            <c:numRef>
              <c:f>'Channels Analysis'!$Q$25:$Q$30</c:f>
              <c:numCache>
                <c:formatCode>0.00%</c:formatCode>
                <c:ptCount val="6"/>
                <c:pt idx="0">
                  <c:v>0.29729729729729731</c:v>
                </c:pt>
                <c:pt idx="1">
                  <c:v>0.34090909090909088</c:v>
                </c:pt>
                <c:pt idx="2">
                  <c:v>0.23636363636363636</c:v>
                </c:pt>
                <c:pt idx="3">
                  <c:v>0.23728813559322035</c:v>
                </c:pt>
                <c:pt idx="4">
                  <c:v>0.14473684210526316</c:v>
                </c:pt>
                <c:pt idx="5">
                  <c:v>0.20689655172413793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68-2F43-8561-015B72A31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804047"/>
        <c:axId val="2102892207"/>
      </c:lineChart>
      <c:catAx>
        <c:axId val="210526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74181935"/>
        <c:crosses val="autoZero"/>
        <c:auto val="1"/>
        <c:lblAlgn val="ctr"/>
        <c:lblOffset val="100"/>
        <c:noMultiLvlLbl val="0"/>
      </c:catAx>
      <c:valAx>
        <c:axId val="2074181935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_ ;_-[$£-809]* \-#,##0\ ;_-[$£-8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105263551"/>
        <c:crosses val="autoZero"/>
        <c:crossBetween val="between"/>
        <c:majorUnit val="10"/>
      </c:valAx>
      <c:valAx>
        <c:axId val="2102892207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77804047"/>
        <c:crosses val="max"/>
        <c:crossBetween val="between"/>
      </c:valAx>
      <c:catAx>
        <c:axId val="2077804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28922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[BUSB7037_Assignment Dataset.xlsx]Segment Profiles!PivotTable5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296159828388535E-2"/>
          <c:y val="5.0314465408805034E-2"/>
          <c:w val="0.67779168127548228"/>
          <c:h val="0.857914128658445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'Segment Profiles'!$B$3</c:f>
              <c:strCache>
                <c:ptCount val="1"/>
                <c:pt idx="0">
                  <c:v>Average of Total_Spend_12M_GBP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'Segment Profiles'!$A$4:$A$11</c:f>
              <c:strCache>
                <c:ptCount val="7"/>
                <c:pt idx="0">
                  <c:v>At Risk Loyalists</c:v>
                </c:pt>
                <c:pt idx="1">
                  <c:v>Big Spenders</c:v>
                </c:pt>
                <c:pt idx="2">
                  <c:v>Champions</c:v>
                </c:pt>
                <c:pt idx="3">
                  <c:v>Lost / Dormant</c:v>
                </c:pt>
                <c:pt idx="4">
                  <c:v>Loyal Customers</c:v>
                </c:pt>
                <c:pt idx="5">
                  <c:v>New / Promising</c:v>
                </c:pt>
                <c:pt idx="6">
                  <c:v>Regular Customers</c:v>
                </c:pt>
              </c:strCache>
            </c:strRef>
          </c:cat>
          <c:val>
            <c:numRef>
              <c:f>'Segment Profiles'!$B$4:$B$11</c:f>
              <c:numCache>
                <c:formatCode>_-[$£-809]* #.##000_-;\-[$£-809]* #.##000_-;_-[$£-809]* "-"??_-;_-@_-</c:formatCode>
                <c:ptCount val="7"/>
                <c:pt idx="0">
                  <c:v>350.68360000000001</c:v>
                </c:pt>
                <c:pt idx="1">
                  <c:v>353.07071428571425</c:v>
                </c:pt>
                <c:pt idx="2">
                  <c:v>539.71142857142843</c:v>
                </c:pt>
                <c:pt idx="3">
                  <c:v>110.00597014925371</c:v>
                </c:pt>
                <c:pt idx="4">
                  <c:v>407.43971428571439</c:v>
                </c:pt>
                <c:pt idx="5">
                  <c:v>151.1092857142857</c:v>
                </c:pt>
                <c:pt idx="6">
                  <c:v>205.00186666666673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B-8E44-A2BC-68651241DE12}"/>
            </c:ext>
          </c:extLst>
        </c:ser>
        <c:ser>
          <c:idx val="1"/>
          <c:order val="1"/>
          <c:tx>
            <c:strRef>
              <c:f>'Segment Profiles'!$C$3</c:f>
              <c:strCache>
                <c:ptCount val="1"/>
                <c:pt idx="0">
                  <c:v>Average of Number_of_Orders_12M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'Segment Profiles'!$A$4:$A$11</c:f>
              <c:strCache>
                <c:ptCount val="7"/>
                <c:pt idx="0">
                  <c:v>At Risk Loyalists</c:v>
                </c:pt>
                <c:pt idx="1">
                  <c:v>Big Spenders</c:v>
                </c:pt>
                <c:pt idx="2">
                  <c:v>Champions</c:v>
                </c:pt>
                <c:pt idx="3">
                  <c:v>Lost / Dormant</c:v>
                </c:pt>
                <c:pt idx="4">
                  <c:v>Loyal Customers</c:v>
                </c:pt>
                <c:pt idx="5">
                  <c:v>New / Promising</c:v>
                </c:pt>
                <c:pt idx="6">
                  <c:v>Regular Customers</c:v>
                </c:pt>
              </c:strCache>
            </c:strRef>
          </c:cat>
          <c:val>
            <c:numRef>
              <c:f>'Segment Profiles'!$C$4:$C$11</c:f>
              <c:numCache>
                <c:formatCode>General</c:formatCode>
                <c:ptCount val="7"/>
                <c:pt idx="0">
                  <c:v>6.88</c:v>
                </c:pt>
                <c:pt idx="1">
                  <c:v>4.9285714285714288</c:v>
                </c:pt>
                <c:pt idx="2">
                  <c:v>7.9857142857142858</c:v>
                </c:pt>
                <c:pt idx="3">
                  <c:v>2.1194029850746268</c:v>
                </c:pt>
                <c:pt idx="4">
                  <c:v>7.2571428571428571</c:v>
                </c:pt>
                <c:pt idx="5">
                  <c:v>2.5714285714285716</c:v>
                </c:pt>
                <c:pt idx="6">
                  <c:v>4.0666666666666664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B-8E44-A2BC-68651241DE12}"/>
            </c:ext>
          </c:extLst>
        </c:ser>
        <c:ser>
          <c:idx val="2"/>
          <c:order val="2"/>
          <c:tx>
            <c:strRef>
              <c:f>'Segment Profiles'!$D$3</c:f>
              <c:strCache>
                <c:ptCount val="1"/>
                <c:pt idx="0">
                  <c:v>Average of Average_Order_Value_GBP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'Segment Profiles'!$A$4:$A$11</c:f>
              <c:strCache>
                <c:ptCount val="7"/>
                <c:pt idx="0">
                  <c:v>At Risk Loyalists</c:v>
                </c:pt>
                <c:pt idx="1">
                  <c:v>Big Spenders</c:v>
                </c:pt>
                <c:pt idx="2">
                  <c:v>Champions</c:v>
                </c:pt>
                <c:pt idx="3">
                  <c:v>Lost / Dormant</c:v>
                </c:pt>
                <c:pt idx="4">
                  <c:v>Loyal Customers</c:v>
                </c:pt>
                <c:pt idx="5">
                  <c:v>New / Promising</c:v>
                </c:pt>
                <c:pt idx="6">
                  <c:v>Regular Customers</c:v>
                </c:pt>
              </c:strCache>
            </c:strRef>
          </c:cat>
          <c:val>
            <c:numRef>
              <c:f>'Segment Profiles'!$D$4:$D$11</c:f>
              <c:numCache>
                <c:formatCode>_-[$£-809]* #.##000_-;\-[$£-809]* #.##000_-;_-[$£-809]* "-"??_-;_-@_-</c:formatCode>
                <c:ptCount val="7"/>
                <c:pt idx="0">
                  <c:v>50.343199999999989</c:v>
                </c:pt>
                <c:pt idx="1">
                  <c:v>72.402857142857144</c:v>
                </c:pt>
                <c:pt idx="2">
                  <c:v>67.608285714285728</c:v>
                </c:pt>
                <c:pt idx="3">
                  <c:v>52.336716417910445</c:v>
                </c:pt>
                <c:pt idx="4">
                  <c:v>54.487428571428566</c:v>
                </c:pt>
                <c:pt idx="5">
                  <c:v>59.530714285714282</c:v>
                </c:pt>
                <c:pt idx="6">
                  <c:v>51.57279999999998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B-8E44-A2BC-68651241DE12}"/>
            </c:ext>
          </c:extLst>
        </c:ser>
        <c:ser>
          <c:idx val="3"/>
          <c:order val="3"/>
          <c:tx>
            <c:strRef>
              <c:f>'Segment Profiles'!$E$3</c:f>
              <c:strCache>
                <c:ptCount val="1"/>
                <c:pt idx="0">
                  <c:v>Average of Days_Since_Last_Purchase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'Segment Profiles'!$A$4:$A$11</c:f>
              <c:strCache>
                <c:ptCount val="7"/>
                <c:pt idx="0">
                  <c:v>At Risk Loyalists</c:v>
                </c:pt>
                <c:pt idx="1">
                  <c:v>Big Spenders</c:v>
                </c:pt>
                <c:pt idx="2">
                  <c:v>Champions</c:v>
                </c:pt>
                <c:pt idx="3">
                  <c:v>Lost / Dormant</c:v>
                </c:pt>
                <c:pt idx="4">
                  <c:v>Loyal Customers</c:v>
                </c:pt>
                <c:pt idx="5">
                  <c:v>New / Promising</c:v>
                </c:pt>
                <c:pt idx="6">
                  <c:v>Regular Customers</c:v>
                </c:pt>
              </c:strCache>
            </c:strRef>
          </c:cat>
          <c:val>
            <c:numRef>
              <c:f>'Segment Profiles'!$E$4:$E$11</c:f>
              <c:numCache>
                <c:formatCode>General</c:formatCode>
                <c:ptCount val="7"/>
                <c:pt idx="0">
                  <c:v>62.08</c:v>
                </c:pt>
                <c:pt idx="1">
                  <c:v>25.285714285714285</c:v>
                </c:pt>
                <c:pt idx="2">
                  <c:v>20.042857142857144</c:v>
                </c:pt>
                <c:pt idx="3">
                  <c:v>132.38805970149255</c:v>
                </c:pt>
                <c:pt idx="4">
                  <c:v>34.085714285714289</c:v>
                </c:pt>
                <c:pt idx="5">
                  <c:v>21.428571428571427</c:v>
                </c:pt>
                <c:pt idx="6">
                  <c:v>54.426666666666669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CB-8E44-A2BC-68651241DE12}"/>
            </c:ext>
          </c:extLst>
        </c:ser>
        <c:ser>
          <c:idx val="4"/>
          <c:order val="4"/>
          <c:tx>
            <c:strRef>
              <c:f>'Segment Profiles'!$F$3</c:f>
              <c:strCache>
                <c:ptCount val="1"/>
                <c:pt idx="0">
                  <c:v>Average of Discount_Usage_Rate_Pct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'Segment Profiles'!$A$4:$A$11</c:f>
              <c:strCache>
                <c:ptCount val="7"/>
                <c:pt idx="0">
                  <c:v>At Risk Loyalists</c:v>
                </c:pt>
                <c:pt idx="1">
                  <c:v>Big Spenders</c:v>
                </c:pt>
                <c:pt idx="2">
                  <c:v>Champions</c:v>
                </c:pt>
                <c:pt idx="3">
                  <c:v>Lost / Dormant</c:v>
                </c:pt>
                <c:pt idx="4">
                  <c:v>Loyal Customers</c:v>
                </c:pt>
                <c:pt idx="5">
                  <c:v>New / Promising</c:v>
                </c:pt>
                <c:pt idx="6">
                  <c:v>Regular Customers</c:v>
                </c:pt>
              </c:strCache>
            </c:strRef>
          </c:cat>
          <c:val>
            <c:numRef>
              <c:f>'Segment Profiles'!$F$4:$F$11</c:f>
              <c:numCache>
                <c:formatCode>0.00</c:formatCode>
                <c:ptCount val="7"/>
                <c:pt idx="0">
                  <c:v>36.788000000000004</c:v>
                </c:pt>
                <c:pt idx="1">
                  <c:v>17.242857142857144</c:v>
                </c:pt>
                <c:pt idx="2">
                  <c:v>18.621428571428574</c:v>
                </c:pt>
                <c:pt idx="3">
                  <c:v>21.602985074626865</c:v>
                </c:pt>
                <c:pt idx="4">
                  <c:v>28.739999999999991</c:v>
                </c:pt>
                <c:pt idx="5">
                  <c:v>27.792857142857141</c:v>
                </c:pt>
                <c:pt idx="6">
                  <c:v>32.550666666666672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CB-8E44-A2BC-68651241DE12}"/>
            </c:ext>
          </c:extLst>
        </c:ser>
        <c:ser>
          <c:idx val="5"/>
          <c:order val="5"/>
          <c:tx>
            <c:strRef>
              <c:f>'Segment Profiles'!$G$3</c:f>
              <c:strCache>
                <c:ptCount val="1"/>
                <c:pt idx="0">
                  <c:v>Average of Email_Open_Rate_Pct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'Segment Profiles'!$A$4:$A$11</c:f>
              <c:strCache>
                <c:ptCount val="7"/>
                <c:pt idx="0">
                  <c:v>At Risk Loyalists</c:v>
                </c:pt>
                <c:pt idx="1">
                  <c:v>Big Spenders</c:v>
                </c:pt>
                <c:pt idx="2">
                  <c:v>Champions</c:v>
                </c:pt>
                <c:pt idx="3">
                  <c:v>Lost / Dormant</c:v>
                </c:pt>
                <c:pt idx="4">
                  <c:v>Loyal Customers</c:v>
                </c:pt>
                <c:pt idx="5">
                  <c:v>New / Promising</c:v>
                </c:pt>
                <c:pt idx="6">
                  <c:v>Regular Customers</c:v>
                </c:pt>
              </c:strCache>
            </c:strRef>
          </c:cat>
          <c:val>
            <c:numRef>
              <c:f>'Segment Profiles'!$G$4:$G$11</c:f>
              <c:numCache>
                <c:formatCode>0.00</c:formatCode>
                <c:ptCount val="7"/>
                <c:pt idx="0">
                  <c:v>41.815999999999995</c:v>
                </c:pt>
                <c:pt idx="1">
                  <c:v>55.285714285714278</c:v>
                </c:pt>
                <c:pt idx="2">
                  <c:v>55.638571428571431</c:v>
                </c:pt>
                <c:pt idx="3">
                  <c:v>25.768656716417912</c:v>
                </c:pt>
                <c:pt idx="4">
                  <c:v>49.362857142857145</c:v>
                </c:pt>
                <c:pt idx="5">
                  <c:v>50.578571428571429</c:v>
                </c:pt>
                <c:pt idx="6">
                  <c:v>40.253333333333337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CB-8E44-A2BC-68651241DE12}"/>
            </c:ext>
          </c:extLst>
        </c:ser>
        <c:ser>
          <c:idx val="6"/>
          <c:order val="6"/>
          <c:tx>
            <c:strRef>
              <c:f>'Segment Profiles'!$H$3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'Segment Profiles'!$A$4:$A$11</c:f>
              <c:strCache>
                <c:ptCount val="7"/>
                <c:pt idx="0">
                  <c:v>At Risk Loyalists</c:v>
                </c:pt>
                <c:pt idx="1">
                  <c:v>Big Spenders</c:v>
                </c:pt>
                <c:pt idx="2">
                  <c:v>Champions</c:v>
                </c:pt>
                <c:pt idx="3">
                  <c:v>Lost / Dormant</c:v>
                </c:pt>
                <c:pt idx="4">
                  <c:v>Loyal Customers</c:v>
                </c:pt>
                <c:pt idx="5">
                  <c:v>New / Promising</c:v>
                </c:pt>
                <c:pt idx="6">
                  <c:v>Regular Customers</c:v>
                </c:pt>
              </c:strCache>
            </c:strRef>
          </c:cat>
          <c:val>
            <c:numRef>
              <c:f>'Segment Profiles'!$H$4:$H$11</c:f>
              <c:numCache>
                <c:formatCode>General</c:formatCode>
                <c:ptCount val="7"/>
                <c:pt idx="0">
                  <c:v>25</c:v>
                </c:pt>
                <c:pt idx="1">
                  <c:v>14</c:v>
                </c:pt>
                <c:pt idx="2">
                  <c:v>70</c:v>
                </c:pt>
                <c:pt idx="3">
                  <c:v>67</c:v>
                </c:pt>
                <c:pt idx="4">
                  <c:v>35</c:v>
                </c:pt>
                <c:pt idx="5">
                  <c:v>14</c:v>
                </c:pt>
                <c:pt idx="6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CB-8E44-A2BC-68651241D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3430992"/>
        <c:axId val="1477085936"/>
      </c:barChart>
      <c:catAx>
        <c:axId val="184343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477085936"/>
        <c:crosses val="autoZero"/>
        <c:auto val="1"/>
        <c:lblAlgn val="ctr"/>
        <c:lblOffset val="100"/>
        <c:noMultiLvlLbl val="0"/>
      </c:catAx>
      <c:valAx>
        <c:axId val="1477085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.##000_-;\-[$£-809]* #.##0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84343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68529705850041"/>
          <c:y val="0.21959669024422795"/>
          <c:w val="0.23660404275770627"/>
          <c:h val="0.381145469104497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Channel Efficiency: % Champions vs Average CAC (£)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'Channels Analysis'!$P$24</c:f>
              <c:strCache>
                <c:ptCount val="1"/>
                <c:pt idx="0">
                  <c:v>Average CAC (GBP)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'Channels Analysis'!$O$25:$O$30</c:f>
              <c:strCache>
                <c:ptCount val="6"/>
                <c:pt idx="0">
                  <c:v>Email</c:v>
                </c:pt>
                <c:pt idx="1">
                  <c:v>Influencer</c:v>
                </c:pt>
                <c:pt idx="2">
                  <c:v>Organic</c:v>
                </c:pt>
                <c:pt idx="3">
                  <c:v>Paid Search</c:v>
                </c:pt>
                <c:pt idx="4">
                  <c:v>Paid Social</c:v>
                </c:pt>
                <c:pt idx="5">
                  <c:v>Referral</c:v>
                </c:pt>
              </c:strCache>
            </c:strRef>
          </c:cat>
          <c:val>
            <c:numRef>
              <c:f>'Channels Analysis'!$P$25:$P$30</c:f>
              <c:numCache>
                <c:formatCode>_-[$£-809]* #.##000_-;\-[$£-809]* #.##000_-;_-[$£-809]* "-"??_-;_-@_-</c:formatCode>
                <c:ptCount val="6"/>
                <c:pt idx="0">
                  <c:v>1.91</c:v>
                </c:pt>
                <c:pt idx="1">
                  <c:v>60.42</c:v>
                </c:pt>
                <c:pt idx="2">
                  <c:v>1.98</c:v>
                </c:pt>
                <c:pt idx="3">
                  <c:v>44.09</c:v>
                </c:pt>
                <c:pt idx="4">
                  <c:v>47.85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4-4441-B04D-DDAE8F41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5263551"/>
        <c:axId val="2074181935"/>
      </c:barChart>
      <c:lineChart>
        <c:grouping val="standard"/>
        <c:varyColors val="0"/>
        <c:ser>
          <c:idx val="1"/>
          <c:order val="1"/>
          <c:tx>
            <c:strRef>
              <c:f>'Channels Analysis'!$Q$24</c:f>
              <c:strCache>
                <c:ptCount val="1"/>
                <c:pt idx="0">
                  <c:v>% Champions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'Channels Analysis'!$O$25:$O$30</c:f>
              <c:strCache>
                <c:ptCount val="6"/>
                <c:pt idx="0">
                  <c:v>Email</c:v>
                </c:pt>
                <c:pt idx="1">
                  <c:v>Influencer</c:v>
                </c:pt>
                <c:pt idx="2">
                  <c:v>Organic</c:v>
                </c:pt>
                <c:pt idx="3">
                  <c:v>Paid Search</c:v>
                </c:pt>
                <c:pt idx="4">
                  <c:v>Paid Social</c:v>
                </c:pt>
                <c:pt idx="5">
                  <c:v>Referral</c:v>
                </c:pt>
              </c:strCache>
            </c:strRef>
          </c:cat>
          <c:val>
            <c:numRef>
              <c:f>'Channels Analysis'!$Q$25:$Q$30</c:f>
              <c:numCache>
                <c:formatCode>0.00%</c:formatCode>
                <c:ptCount val="6"/>
                <c:pt idx="0">
                  <c:v>0.29729729729729731</c:v>
                </c:pt>
                <c:pt idx="1">
                  <c:v>0.34090909090909088</c:v>
                </c:pt>
                <c:pt idx="2">
                  <c:v>0.23636363636363636</c:v>
                </c:pt>
                <c:pt idx="3">
                  <c:v>0.23728813559322035</c:v>
                </c:pt>
                <c:pt idx="4">
                  <c:v>0.14473684210526316</c:v>
                </c:pt>
                <c:pt idx="5">
                  <c:v>0.20689655172413793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64-4441-B04D-DDAE8F412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804047"/>
        <c:axId val="2102892207"/>
      </c:lineChart>
      <c:catAx>
        <c:axId val="210526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74181935"/>
        <c:crosses val="autoZero"/>
        <c:auto val="1"/>
        <c:lblAlgn val="ctr"/>
        <c:lblOffset val="100"/>
        <c:noMultiLvlLbl val="0"/>
      </c:catAx>
      <c:valAx>
        <c:axId val="2074181935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_ ;_-[$£-809]* \-#,##0\ ;_-[$£-809]* &quot;-&quot;_ ;_-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105263551"/>
        <c:crosses val="autoZero"/>
        <c:crossBetween val="between"/>
        <c:majorUnit val="10"/>
      </c:valAx>
      <c:valAx>
        <c:axId val="2102892207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77804047"/>
        <c:crosses val="max"/>
        <c:crossBetween val="between"/>
      </c:valAx>
      <c:catAx>
        <c:axId val="20778040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28922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50800</xdr:rowOff>
    </xdr:from>
    <xdr:to>
      <xdr:col>4</xdr:col>
      <xdr:colOff>533400</xdr:colOff>
      <xdr:row>4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00C758A-E321-5CDB-6B04-52D73FACC52A}"/>
            </a:ext>
          </a:extLst>
        </xdr:cNvPr>
        <xdr:cNvSpPr txBox="1"/>
      </xdr:nvSpPr>
      <xdr:spPr>
        <a:xfrm>
          <a:off x="114300" y="50800"/>
          <a:ext cx="8331200" cy="850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Luna &amp; Co.-</a:t>
          </a:r>
          <a:r>
            <a:rPr lang="en-GB" sz="1200" b="1" baseline="0"/>
            <a:t> RFM Customer Segmentation and Channel Efficiency Analysis </a:t>
          </a:r>
        </a:p>
        <a:p>
          <a:pPr algn="l"/>
          <a:endParaRPr lang="en-GB" sz="1100" baseline="0"/>
        </a:p>
        <a:p>
          <a:pPr algn="l"/>
          <a:r>
            <a:rPr lang="en-GB" sz="1100" baseline="0"/>
            <a:t>This dashboard summarises the key findings from the RFM segmentation of 300 customers (Dataset A) and the channel KPI analysis (Dataset B)</a:t>
          </a:r>
        </a:p>
        <a:p>
          <a:pPr algn="l"/>
          <a:endParaRPr lang="en-GB" sz="1100" baseline="0"/>
        </a:p>
        <a:p>
          <a:pPr algn="l"/>
          <a:endParaRPr lang="en-GB" sz="1100"/>
        </a:p>
      </xdr:txBody>
    </xdr:sp>
    <xdr:clientData/>
  </xdr:twoCellAnchor>
  <xdr:twoCellAnchor>
    <xdr:from>
      <xdr:col>0</xdr:col>
      <xdr:colOff>165100</xdr:colOff>
      <xdr:row>17</xdr:row>
      <xdr:rowOff>177800</xdr:rowOff>
    </xdr:from>
    <xdr:to>
      <xdr:col>5</xdr:col>
      <xdr:colOff>684647</xdr:colOff>
      <xdr:row>30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E97FDB-4A48-85FC-8947-1C96C4F6C4AB}"/>
            </a:ext>
          </a:extLst>
        </xdr:cNvPr>
        <xdr:cNvSpPr txBox="1"/>
      </xdr:nvSpPr>
      <xdr:spPr>
        <a:xfrm>
          <a:off x="165100" y="3416300"/>
          <a:ext cx="10743047" cy="243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Key Tekaways </a:t>
          </a:r>
        </a:p>
        <a:p>
          <a:pPr algn="ctr"/>
          <a:endParaRPr lang="en-GB" sz="1200" b="1"/>
        </a:p>
        <a:p>
          <a:r>
            <a:rPr lang="en-GB" b="0"/>
            <a:t>Champions is the most valuable but not the largest segment.</a:t>
          </a:r>
          <a:r>
            <a:rPr lang="en-GB" b="0" baseline="0"/>
            <a:t> it has </a:t>
          </a:r>
          <a:r>
            <a:rPr lang="en-GB"/>
            <a:t>70 customers, with average spend of £539.71, 8 orders per year, and only 20 days since last purchase. Their 70% subscription rate and low discount usage (18.6%) confirm they buy out of genuine brand loyalty,</a:t>
          </a:r>
          <a:r>
            <a:rPr lang="en-GB" baseline="0"/>
            <a:t> </a:t>
          </a:r>
          <a:r>
            <a:rPr lang="en-GB"/>
            <a:t>not promotions.</a:t>
          </a:r>
        </a:p>
        <a:p>
          <a:endParaRPr lang="en-GB" sz="1100"/>
        </a:p>
        <a:p>
          <a:r>
            <a:rPr lang="en-GB" b="0"/>
            <a:t>Lost/Dormant segment</a:t>
          </a:r>
          <a:r>
            <a:rPr lang="en-GB" b="0" baseline="0"/>
            <a:t> has </a:t>
          </a:r>
          <a:r>
            <a:rPr lang="en-GB"/>
            <a:t>67 customers,</a:t>
          </a:r>
          <a:r>
            <a:rPr lang="en-GB" baseline="0"/>
            <a:t> </a:t>
          </a:r>
          <a:r>
            <a:rPr lang="en-GB"/>
            <a:t>has spent only £110 on average and has</a:t>
          </a:r>
          <a:r>
            <a:rPr lang="en-GB" baseline="0"/>
            <a:t> not</a:t>
          </a:r>
          <a:r>
            <a:rPr lang="en-GB"/>
            <a:t> purchased in 132 days. This segment represents significant recoverable revenue.</a:t>
          </a:r>
        </a:p>
        <a:p>
          <a:endParaRPr lang="en-GB"/>
        </a:p>
        <a:p>
          <a:r>
            <a:rPr lang="en-GB" b="0"/>
            <a:t>Loyal Customers segment</a:t>
          </a:r>
          <a:r>
            <a:rPr lang="en-GB" b="0" baseline="0"/>
            <a:t> presents</a:t>
          </a:r>
          <a:r>
            <a:rPr lang="en-GB" b="0"/>
            <a:t> </a:t>
          </a:r>
          <a:r>
            <a:rPr lang="en-GB"/>
            <a:t>35 customers with 7.3 orders per year and £407 average spend, but only 57% subscription rate. They behave like Champions but haven't been converted to subscription yet.</a:t>
          </a:r>
          <a:r>
            <a:rPr lang="en-GB" baseline="0"/>
            <a:t> They could easily become Champions</a:t>
          </a:r>
          <a:r>
            <a:rPr lang="en-GB"/>
            <a:t>.</a:t>
          </a:r>
        </a:p>
        <a:p>
          <a:endParaRPr lang="en-GB"/>
        </a:p>
        <a:p>
          <a:r>
            <a:rPr lang="en-GB"/>
            <a:t>Regular</a:t>
          </a:r>
          <a:r>
            <a:rPr lang="en-GB" baseline="0"/>
            <a:t> Customers</a:t>
          </a:r>
          <a:r>
            <a:rPr lang="en-GB"/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largest group, with 75 customers, but it has an average total spend of £205, an average day since last purchase of 54 days, and 4 orders.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segment also </a:t>
          </a:r>
          <a:r>
            <a:rPr lang="en-GB"/>
            <a:t>shows</a:t>
          </a:r>
          <a:r>
            <a:rPr lang="en-GB" baseline="0"/>
            <a:t> </a:t>
          </a:r>
          <a:r>
            <a:rPr lang="en-GB"/>
            <a:t>a 36.8% discount usage rate,</a:t>
          </a:r>
          <a:r>
            <a:rPr lang="en-GB" baseline="0"/>
            <a:t> suggesting that they are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primarily driven by discounts</a:t>
          </a:r>
          <a:r>
            <a:rPr lang="en-I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I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By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reducing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their dependence on discounts it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could be possible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migrate them toward the Loyal Customers segment.</a:t>
          </a:r>
          <a:endParaRPr lang="en-GB"/>
        </a:p>
        <a:p>
          <a:endParaRPr lang="en-GB" sz="1100"/>
        </a:p>
        <a:p>
          <a:endParaRPr lang="en-GB" sz="1100"/>
        </a:p>
        <a:p>
          <a:endParaRPr lang="en-GB" sz="1100"/>
        </a:p>
        <a:p>
          <a:endParaRPr lang="en-GB" sz="1100"/>
        </a:p>
      </xdr:txBody>
    </xdr:sp>
    <xdr:clientData/>
  </xdr:twoCellAnchor>
  <xdr:twoCellAnchor>
    <xdr:from>
      <xdr:col>3</xdr:col>
      <xdr:colOff>755953</xdr:colOff>
      <xdr:row>44</xdr:row>
      <xdr:rowOff>181430</xdr:rowOff>
    </xdr:from>
    <xdr:to>
      <xdr:col>6</xdr:col>
      <xdr:colOff>1436310</xdr:colOff>
      <xdr:row>69</xdr:row>
      <xdr:rowOff>151191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308D3A-A4C9-8E4F-9853-60A5E76DA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257024</xdr:colOff>
      <xdr:row>73</xdr:row>
      <xdr:rowOff>60476</xdr:rowOff>
    </xdr:from>
    <xdr:to>
      <xdr:col>5</xdr:col>
      <xdr:colOff>1285119</xdr:colOff>
      <xdr:row>80</xdr:row>
      <xdr:rowOff>86102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20AC0F2-95AC-40C7-0950-F227F76634BD}"/>
            </a:ext>
          </a:extLst>
        </xdr:cNvPr>
        <xdr:cNvSpPr txBox="1"/>
      </xdr:nvSpPr>
      <xdr:spPr>
        <a:xfrm>
          <a:off x="257024" y="14202679"/>
          <a:ext cx="11252671" cy="13817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Key Takaways </a:t>
          </a:r>
        </a:p>
        <a:p>
          <a:endParaRPr lang="en-GB" sz="1100"/>
        </a:p>
        <a:p>
          <a:r>
            <a:rPr lang="en-GB" b="0"/>
            <a:t>Email is the most efficient channel by far.</a:t>
          </a:r>
          <a:r>
            <a:rPr lang="en-GB" b="0" baseline="0"/>
            <a:t> W</a:t>
          </a:r>
          <a:r>
            <a:rPr lang="en-GB" b="0"/>
            <a:t>ith</a:t>
          </a:r>
          <a:r>
            <a:rPr lang="en-GB"/>
            <a:t> £1.91 CAC and ROAS of 36.47, it</a:t>
          </a:r>
          <a:r>
            <a:rPr lang="en-GB" baseline="0"/>
            <a:t> produces</a:t>
          </a:r>
          <a:r>
            <a:rPr lang="en-GB"/>
            <a:t> 29.73% of Champions.</a:t>
          </a:r>
        </a:p>
        <a:p>
          <a:endParaRPr lang="en-GB" sz="1100"/>
        </a:p>
        <a:p>
          <a:r>
            <a:rPr lang="en-GB" b="0"/>
            <a:t>Influencer costs 32x more than Email.</a:t>
          </a:r>
          <a:r>
            <a:rPr lang="en-GB" b="0" baseline="0"/>
            <a:t> </a:t>
          </a:r>
          <a:r>
            <a:rPr lang="en-GB" b="0"/>
            <a:t>Influencer </a:t>
          </a:r>
          <a:r>
            <a:rPr lang="en-GB"/>
            <a:t>produces 34.09% Champions, but at £60.42 CAC. Its ROAS of 0.99 means it is currently the only channel losing money.</a:t>
          </a:r>
        </a:p>
        <a:p>
          <a:endParaRPr lang="en-GB" sz="1100" b="0"/>
        </a:p>
        <a:p>
          <a:r>
            <a:rPr lang="en-GB" b="0"/>
            <a:t>Paid Social is the worst performing channel overall </a:t>
          </a:r>
          <a:r>
            <a:rPr lang="en-GB"/>
            <a:t>becasue it has</a:t>
          </a:r>
          <a:r>
            <a:rPr lang="en-GB" baseline="0"/>
            <a:t> the l</a:t>
          </a:r>
          <a:r>
            <a:rPr lang="en-GB"/>
            <a:t>owest Champion rate (14.47%)</a:t>
          </a:r>
          <a:r>
            <a:rPr lang="en-GB" baseline="0"/>
            <a:t> </a:t>
          </a:r>
          <a:r>
            <a:rPr lang="en-GB"/>
            <a:t>and a CAC of £47.85 at ROAS 1.07. The</a:t>
          </a:r>
          <a:r>
            <a:rPr lang="en-GB" baseline="0"/>
            <a:t> data does not justify an investment in this channel</a:t>
          </a:r>
          <a:r>
            <a:rPr lang="en-GB"/>
            <a:t>.</a:t>
          </a:r>
        </a:p>
        <a:p>
          <a:endParaRPr lang="en-GB" sz="1100"/>
        </a:p>
        <a:p>
          <a:endParaRPr lang="en-GB" sz="1100"/>
        </a:p>
        <a:p>
          <a:endParaRPr lang="en-GB" sz="1100"/>
        </a:p>
      </xdr:txBody>
    </xdr:sp>
    <xdr:clientData/>
  </xdr:twoCellAnchor>
  <xdr:twoCellAnchor>
    <xdr:from>
      <xdr:col>0</xdr:col>
      <xdr:colOff>237067</xdr:colOff>
      <xdr:row>82</xdr:row>
      <xdr:rowOff>50800</xdr:rowOff>
    </xdr:from>
    <xdr:to>
      <xdr:col>5</xdr:col>
      <xdr:colOff>1303867</xdr:colOff>
      <xdr:row>88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111B0B6-E90B-A9F0-2DF5-0C38BE7BDE66}"/>
            </a:ext>
          </a:extLst>
        </xdr:cNvPr>
        <xdr:cNvSpPr txBox="1"/>
      </xdr:nvSpPr>
      <xdr:spPr>
        <a:xfrm>
          <a:off x="237067" y="15324667"/>
          <a:ext cx="11294533" cy="1066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Central Findings</a:t>
          </a:r>
        </a:p>
        <a:p>
          <a:pPr algn="ctr"/>
          <a:endParaRPr lang="en-GB" sz="1200" b="1"/>
        </a:p>
        <a:p>
          <a:pPr algn="l"/>
          <a:r>
            <a:rPr lang="en-GB" sz="1200"/>
            <a:t>Luna &amp; Co. is spending the most on the channels that produce the least valuable customers. Email delivers nearly as many Champions as Influencer at 1/32 of the cost, while Paid Social generates the lowest Champion rate in the dataset at £47.85 per acquired customer.</a:t>
          </a:r>
          <a:endParaRPr lang="en-GB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1371601</xdr:colOff>
      <xdr:row>12</xdr:row>
      <xdr:rowOff>0</xdr:rowOff>
    </xdr:from>
    <xdr:to>
      <xdr:col>7</xdr:col>
      <xdr:colOff>1286934</xdr:colOff>
      <xdr:row>52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894BFB-6808-9080-CCCB-E2F8BD5BD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494199</xdr:colOff>
      <xdr:row>13</xdr:row>
      <xdr:rowOff>180602</xdr:rowOff>
    </xdr:from>
    <xdr:to>
      <xdr:col>26</xdr:col>
      <xdr:colOff>244886</xdr:colOff>
      <xdr:row>42</xdr:row>
      <xdr:rowOff>171742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BE2B9A6-DC3B-1AC3-7070-58D7B9FA6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71.714340972219" createdVersion="8" refreshedVersion="8" minRefreshableVersion="3" recordCount="300" xr:uid="{83954BE7-1CDF-F243-A28C-6E12F6F1CBE1}">
  <cacheSource type="worksheet">
    <worksheetSource ref="A1:S301" sheet="RFM_Scoring"/>
  </cacheSource>
  <cacheFields count="19">
    <cacheField name="Customer_ID" numFmtId="0">
      <sharedItems/>
    </cacheField>
    <cacheField name="Acquisition_Channel" numFmtId="0">
      <sharedItems count="6">
        <s v="Paid Search"/>
        <s v="Referral"/>
        <s v="Organic"/>
        <s v="Influencer"/>
        <s v="Paid Social"/>
        <s v="Email"/>
      </sharedItems>
    </cacheField>
    <cacheField name="Total_Spend_12M_GBP" numFmtId="0">
      <sharedItems containsSemiMixedTypes="0" containsString="0" containsNumber="1" minValue="31.25" maxValue="973.55"/>
    </cacheField>
    <cacheField name="Number_of_Orders_12M" numFmtId="0">
      <sharedItems containsSemiMixedTypes="0" containsString="0" containsNumber="1" containsInteger="1" minValue="1" maxValue="13"/>
    </cacheField>
    <cacheField name="Average_Order_Value_GBP" numFmtId="0">
      <sharedItems containsSemiMixedTypes="0" containsString="0" containsNumber="1" minValue="24.61" maxValue="96.13"/>
    </cacheField>
    <cacheField name="Days_Since_Last_Purchase" numFmtId="0">
      <sharedItems containsSemiMixedTypes="0" containsString="0" containsNumber="1" containsInteger="1" minValue="1" maxValue="283"/>
    </cacheField>
    <cacheField name="Discount_Usage_Rate_Pct" numFmtId="0">
      <sharedItems containsSemiMixedTypes="0" containsString="0" containsNumber="1" minValue="0" maxValue="79"/>
    </cacheField>
    <cacheField name="Product_Category_Breadth" numFmtId="0">
      <sharedItems containsSemiMixedTypes="0" containsString="0" containsNumber="1" containsInteger="1" minValue="1" maxValue="6"/>
    </cacheField>
    <cacheField name="Subscription_Status" numFmtId="0">
      <sharedItems/>
    </cacheField>
    <cacheField name="Subscription_Tenure_Months" numFmtId="0">
      <sharedItems containsSemiMixedTypes="0" containsString="0" containsNumber="1" containsInteger="1" minValue="0" maxValue="20"/>
    </cacheField>
    <cacheField name="Email_Open_Rate_Pct" numFmtId="0">
      <sharedItems containsSemiMixedTypes="0" containsString="0" containsNumber="1" minValue="2" maxValue="82.6"/>
    </cacheField>
    <cacheField name="Email_Click_Rate_Pct" numFmtId="0">
      <sharedItems containsSemiMixedTypes="0" containsString="0" containsNumber="1" minValue="0" maxValue="29.2"/>
    </cacheField>
    <cacheField name="Region" numFmtId="0">
      <sharedItems/>
    </cacheField>
    <cacheField name="Age_Band" numFmtId="0">
      <sharedItems/>
    </cacheField>
    <cacheField name="R_score" numFmtId="0">
      <sharedItems containsSemiMixedTypes="0" containsString="0" containsNumber="1" containsInteger="1" minValue="1" maxValue="5"/>
    </cacheField>
    <cacheField name="F_score" numFmtId="0">
      <sharedItems containsSemiMixedTypes="0" containsString="0" containsNumber="1" containsInteger="1" minValue="1" maxValue="5"/>
    </cacheField>
    <cacheField name="M_score" numFmtId="0">
      <sharedItems containsSemiMixedTypes="0" containsString="0" containsNumber="1" containsInteger="1" minValue="1" maxValue="5"/>
    </cacheField>
    <cacheField name="RFM_code" numFmtId="0">
      <sharedItems/>
    </cacheField>
    <cacheField name="RFM_segment" numFmtId="0">
      <sharedItems count="7">
        <s v="Loyal Customers"/>
        <s v="Champions"/>
        <s v="Lost / Dormant"/>
        <s v="At Risk Loyalists"/>
        <s v="Regular Customers"/>
        <s v="Big Spenders"/>
        <s v="New / Promis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C0001"/>
    <x v="0"/>
    <n v="749.71"/>
    <n v="11"/>
    <n v="71.34"/>
    <n v="46"/>
    <n v="8.6999999999999993"/>
    <n v="2"/>
    <s v="Yes"/>
    <n v="3"/>
    <n v="63.8"/>
    <n v="20.9"/>
    <s v="London"/>
    <s v="18-24"/>
    <n v="3"/>
    <n v="5"/>
    <n v="5"/>
    <s v="355"/>
    <x v="0"/>
  </r>
  <r>
    <s v="C0002"/>
    <x v="1"/>
    <n v="511.7"/>
    <n v="8"/>
    <n v="66.36"/>
    <n v="34"/>
    <n v="4.3"/>
    <n v="4"/>
    <s v="Yes"/>
    <n v="11"/>
    <n v="41.3"/>
    <n v="24.3"/>
    <s v="South East"/>
    <s v="35-44"/>
    <n v="3"/>
    <n v="5"/>
    <n v="5"/>
    <s v="355"/>
    <x v="0"/>
  </r>
  <r>
    <s v="C0003"/>
    <x v="2"/>
    <n v="494.82"/>
    <n v="7"/>
    <n v="74.430000000000007"/>
    <n v="28"/>
    <n v="10.6"/>
    <n v="2"/>
    <s v="No"/>
    <n v="0"/>
    <n v="73.3"/>
    <n v="18.5"/>
    <s v="London"/>
    <s v="35-44"/>
    <n v="4"/>
    <n v="5"/>
    <n v="5"/>
    <s v="455"/>
    <x v="1"/>
  </r>
  <r>
    <s v="C0004"/>
    <x v="3"/>
    <n v="109.38"/>
    <n v="2"/>
    <n v="59.11"/>
    <n v="165"/>
    <n v="26.6"/>
    <n v="2"/>
    <s v="No"/>
    <n v="0"/>
    <n v="14.4"/>
    <n v="6"/>
    <s v="London"/>
    <s v="35-44"/>
    <n v="1"/>
    <n v="1"/>
    <n v="1"/>
    <s v="111"/>
    <x v="2"/>
  </r>
  <r>
    <s v="C0005"/>
    <x v="4"/>
    <n v="289.77999999999997"/>
    <n v="6"/>
    <n v="47.67"/>
    <n v="68"/>
    <n v="46.9"/>
    <n v="2"/>
    <s v="Yes"/>
    <n v="11"/>
    <n v="30.6"/>
    <n v="9.9"/>
    <s v="London"/>
    <s v="35-44"/>
    <n v="2"/>
    <n v="4"/>
    <n v="3"/>
    <s v="243"/>
    <x v="3"/>
  </r>
  <r>
    <s v="C0006"/>
    <x v="4"/>
    <n v="330.78"/>
    <n v="6"/>
    <n v="52.13"/>
    <n v="2"/>
    <n v="21.5"/>
    <n v="4"/>
    <s v="No"/>
    <n v="0"/>
    <n v="23.8"/>
    <n v="18.100000000000001"/>
    <s v="Midlands"/>
    <s v="55+"/>
    <n v="5"/>
    <n v="4"/>
    <n v="4"/>
    <s v="544"/>
    <x v="1"/>
  </r>
  <r>
    <s v="C0007"/>
    <x v="4"/>
    <n v="90.86"/>
    <n v="2"/>
    <n v="49.3"/>
    <n v="34"/>
    <n v="25.5"/>
    <n v="3"/>
    <s v="No"/>
    <n v="0"/>
    <n v="53.2"/>
    <n v="21.9"/>
    <s v="London"/>
    <s v="35-44"/>
    <n v="3"/>
    <n v="1"/>
    <n v="1"/>
    <s v="311"/>
    <x v="4"/>
  </r>
  <r>
    <s v="C0008"/>
    <x v="2"/>
    <n v="146.61000000000001"/>
    <n v="6"/>
    <n v="25.67"/>
    <n v="26"/>
    <n v="45"/>
    <n v="1"/>
    <s v="No"/>
    <n v="0"/>
    <n v="35.200000000000003"/>
    <n v="14"/>
    <s v="South East"/>
    <s v="25-34"/>
    <n v="4"/>
    <n v="4"/>
    <n v="2"/>
    <s v="442"/>
    <x v="0"/>
  </r>
  <r>
    <s v="C0009"/>
    <x v="3"/>
    <n v="812.93"/>
    <n v="9"/>
    <n v="85.99"/>
    <n v="24"/>
    <n v="17.5"/>
    <n v="3"/>
    <s v="Yes"/>
    <n v="13"/>
    <n v="64.2"/>
    <n v="13.1"/>
    <s v="Midlands"/>
    <s v="45-54"/>
    <n v="4"/>
    <n v="5"/>
    <n v="5"/>
    <s v="455"/>
    <x v="1"/>
  </r>
  <r>
    <s v="C0010"/>
    <x v="3"/>
    <n v="390.75"/>
    <n v="8"/>
    <n v="52.54"/>
    <n v="81"/>
    <n v="50.4"/>
    <n v="2"/>
    <s v="No"/>
    <n v="0"/>
    <n v="34.299999999999997"/>
    <n v="10.8"/>
    <s v="North"/>
    <s v="25-34"/>
    <n v="2"/>
    <n v="5"/>
    <n v="4"/>
    <s v="254"/>
    <x v="3"/>
  </r>
  <r>
    <s v="C0011"/>
    <x v="4"/>
    <n v="101.84"/>
    <n v="2"/>
    <n v="49.19"/>
    <n v="159"/>
    <n v="18.8"/>
    <n v="2"/>
    <s v="No"/>
    <n v="0"/>
    <n v="17.399999999999999"/>
    <n v="13.9"/>
    <s v="London"/>
    <s v="25-34"/>
    <n v="1"/>
    <n v="1"/>
    <n v="1"/>
    <s v="111"/>
    <x v="2"/>
  </r>
  <r>
    <s v="C0012"/>
    <x v="1"/>
    <n v="209"/>
    <n v="5"/>
    <n v="42.3"/>
    <n v="52"/>
    <n v="49.4"/>
    <n v="1"/>
    <s v="Yes"/>
    <n v="9"/>
    <n v="36.9"/>
    <n v="13.7"/>
    <s v="North"/>
    <s v="18-24"/>
    <n v="2"/>
    <n v="3"/>
    <n v="3"/>
    <s v="233"/>
    <x v="4"/>
  </r>
  <r>
    <s v="C0013"/>
    <x v="2"/>
    <n v="128.09"/>
    <n v="3"/>
    <n v="40.29"/>
    <n v="150"/>
    <n v="7.4"/>
    <n v="3"/>
    <s v="No"/>
    <n v="0"/>
    <n v="21.2"/>
    <n v="10.3"/>
    <s v="North"/>
    <s v="18-24"/>
    <n v="1"/>
    <n v="2"/>
    <n v="2"/>
    <s v="122"/>
    <x v="2"/>
  </r>
  <r>
    <s v="C0014"/>
    <x v="4"/>
    <n v="261.39999999999998"/>
    <n v="5"/>
    <n v="49.07"/>
    <n v="8"/>
    <n v="55.8"/>
    <n v="4"/>
    <s v="No"/>
    <n v="0"/>
    <n v="51.8"/>
    <n v="11.6"/>
    <s v="London"/>
    <s v="55+"/>
    <n v="5"/>
    <n v="3"/>
    <n v="3"/>
    <s v="533"/>
    <x v="4"/>
  </r>
  <r>
    <s v="C0015"/>
    <x v="4"/>
    <n v="97.02"/>
    <n v="2"/>
    <n v="48.4"/>
    <n v="138"/>
    <n v="15.3"/>
    <n v="3"/>
    <s v="No"/>
    <n v="0"/>
    <n v="20.7"/>
    <n v="8.1999999999999993"/>
    <s v="Scotland"/>
    <s v="45-54"/>
    <n v="1"/>
    <n v="1"/>
    <n v="1"/>
    <s v="111"/>
    <x v="2"/>
  </r>
  <r>
    <s v="C0016"/>
    <x v="4"/>
    <n v="209.33"/>
    <n v="8"/>
    <n v="28.08"/>
    <n v="17"/>
    <n v="43.7"/>
    <n v="1"/>
    <s v="No"/>
    <n v="0"/>
    <n v="49.6"/>
    <n v="3.8"/>
    <s v="Wales"/>
    <s v="35-44"/>
    <n v="5"/>
    <n v="5"/>
    <n v="3"/>
    <s v="553"/>
    <x v="0"/>
  </r>
  <r>
    <s v="C0017"/>
    <x v="0"/>
    <n v="220.12"/>
    <n v="5"/>
    <n v="42.61"/>
    <n v="59"/>
    <n v="32.6"/>
    <n v="2"/>
    <s v="No"/>
    <n v="0"/>
    <n v="44.5"/>
    <n v="4.4000000000000004"/>
    <s v="London"/>
    <s v="25-34"/>
    <n v="2"/>
    <n v="3"/>
    <n v="3"/>
    <s v="233"/>
    <x v="4"/>
  </r>
  <r>
    <s v="C0018"/>
    <x v="5"/>
    <n v="205.8"/>
    <n v="4"/>
    <n v="54.86"/>
    <n v="72"/>
    <n v="22.8"/>
    <n v="5"/>
    <s v="No"/>
    <n v="0"/>
    <n v="52.3"/>
    <n v="11.5"/>
    <s v="South East"/>
    <s v="25-34"/>
    <n v="2"/>
    <n v="3"/>
    <n v="2"/>
    <s v="232"/>
    <x v="4"/>
  </r>
  <r>
    <s v="C0019"/>
    <x v="0"/>
    <n v="287.11"/>
    <n v="5"/>
    <n v="57.36"/>
    <n v="48"/>
    <n v="25.6"/>
    <n v="5"/>
    <s v="Yes"/>
    <n v="7"/>
    <n v="37.700000000000003"/>
    <n v="12.1"/>
    <s v="North"/>
    <s v="18-24"/>
    <n v="3"/>
    <n v="3"/>
    <n v="3"/>
    <s v="333"/>
    <x v="4"/>
  </r>
  <r>
    <s v="C0020"/>
    <x v="0"/>
    <n v="667.32"/>
    <n v="8"/>
    <n v="81.16"/>
    <n v="35"/>
    <n v="14.1"/>
    <n v="1"/>
    <s v="Yes"/>
    <n v="8"/>
    <n v="60.8"/>
    <n v="11.3"/>
    <s v="North"/>
    <s v="25-34"/>
    <n v="3"/>
    <n v="5"/>
    <n v="5"/>
    <s v="355"/>
    <x v="0"/>
  </r>
  <r>
    <s v="C0021"/>
    <x v="3"/>
    <n v="320.24"/>
    <n v="6"/>
    <n v="52.39"/>
    <n v="31"/>
    <n v="45.1"/>
    <n v="5"/>
    <s v="No"/>
    <n v="0"/>
    <n v="47.7"/>
    <n v="23"/>
    <s v="London"/>
    <s v="35-44"/>
    <n v="4"/>
    <n v="4"/>
    <n v="4"/>
    <s v="444"/>
    <x v="1"/>
  </r>
  <r>
    <s v="C0022"/>
    <x v="4"/>
    <n v="310.07"/>
    <n v="6"/>
    <n v="50.41"/>
    <n v="63"/>
    <n v="61.3"/>
    <n v="3"/>
    <s v="No"/>
    <n v="0"/>
    <n v="26.6"/>
    <n v="6.9"/>
    <s v="London"/>
    <s v="35-44"/>
    <n v="2"/>
    <n v="4"/>
    <n v="4"/>
    <s v="244"/>
    <x v="3"/>
  </r>
  <r>
    <s v="C0023"/>
    <x v="0"/>
    <n v="282.70999999999998"/>
    <n v="5"/>
    <n v="57.42"/>
    <n v="40"/>
    <n v="29.3"/>
    <n v="5"/>
    <s v="No"/>
    <n v="0"/>
    <n v="53.6"/>
    <n v="14.8"/>
    <s v="South East"/>
    <s v="35-44"/>
    <n v="3"/>
    <n v="3"/>
    <n v="3"/>
    <s v="333"/>
    <x v="4"/>
  </r>
  <r>
    <s v="C0024"/>
    <x v="0"/>
    <n v="302.67"/>
    <n v="7"/>
    <n v="46.95"/>
    <n v="47"/>
    <n v="32"/>
    <n v="4"/>
    <s v="No"/>
    <n v="0"/>
    <n v="61.8"/>
    <n v="13.6"/>
    <s v="Midlands"/>
    <s v="25-34"/>
    <n v="3"/>
    <n v="5"/>
    <n v="3"/>
    <s v="353"/>
    <x v="0"/>
  </r>
  <r>
    <s v="C0025"/>
    <x v="5"/>
    <n v="97.67"/>
    <n v="3"/>
    <n v="33.229999999999997"/>
    <n v="71"/>
    <n v="30.7"/>
    <n v="2"/>
    <s v="No"/>
    <n v="0"/>
    <n v="22.5"/>
    <n v="8.8000000000000007"/>
    <s v="North"/>
    <s v="55+"/>
    <n v="2"/>
    <n v="2"/>
    <n v="1"/>
    <s v="221"/>
    <x v="2"/>
  </r>
  <r>
    <s v="C0026"/>
    <x v="2"/>
    <n v="880.14"/>
    <n v="11"/>
    <n v="82.1"/>
    <n v="51"/>
    <n v="7.9"/>
    <n v="4"/>
    <s v="Yes"/>
    <n v="10"/>
    <n v="50.5"/>
    <n v="15.9"/>
    <s v="South East"/>
    <s v="35-44"/>
    <n v="2"/>
    <n v="5"/>
    <n v="5"/>
    <s v="255"/>
    <x v="3"/>
  </r>
  <r>
    <s v="C0027"/>
    <x v="4"/>
    <n v="92.42"/>
    <n v="3"/>
    <n v="28.84"/>
    <n v="88"/>
    <n v="60.3"/>
    <n v="4"/>
    <s v="No"/>
    <n v="0"/>
    <n v="43.6"/>
    <n v="9"/>
    <s v="Midlands"/>
    <s v="35-44"/>
    <n v="2"/>
    <n v="2"/>
    <n v="1"/>
    <s v="221"/>
    <x v="2"/>
  </r>
  <r>
    <s v="C0028"/>
    <x v="5"/>
    <n v="138.72"/>
    <n v="3"/>
    <n v="45.95"/>
    <n v="63"/>
    <n v="19.2"/>
    <n v="1"/>
    <s v="No"/>
    <n v="0"/>
    <n v="29.8"/>
    <n v="3.1"/>
    <s v="North"/>
    <s v="35-44"/>
    <n v="2"/>
    <n v="2"/>
    <n v="2"/>
    <s v="222"/>
    <x v="2"/>
  </r>
  <r>
    <s v="C0029"/>
    <x v="3"/>
    <n v="108.9"/>
    <n v="3"/>
    <n v="36.15"/>
    <n v="182"/>
    <n v="12.1"/>
    <n v="1"/>
    <s v="No"/>
    <n v="0"/>
    <n v="20.2"/>
    <n v="2.1"/>
    <s v="London"/>
    <s v="25-34"/>
    <n v="1"/>
    <n v="2"/>
    <n v="1"/>
    <s v="121"/>
    <x v="2"/>
  </r>
  <r>
    <s v="C0030"/>
    <x v="4"/>
    <n v="598.65"/>
    <n v="9"/>
    <n v="65.989999999999995"/>
    <n v="4"/>
    <n v="13.9"/>
    <n v="4"/>
    <s v="No"/>
    <n v="0"/>
    <n v="72.8"/>
    <n v="15.6"/>
    <s v="South East"/>
    <s v="25-34"/>
    <n v="5"/>
    <n v="5"/>
    <n v="5"/>
    <s v="555"/>
    <x v="1"/>
  </r>
  <r>
    <s v="C0031"/>
    <x v="3"/>
    <n v="533.94000000000005"/>
    <n v="8"/>
    <n v="67.709999999999994"/>
    <n v="30"/>
    <n v="12.7"/>
    <n v="4"/>
    <s v="Yes"/>
    <n v="12"/>
    <n v="62"/>
    <n v="9.5"/>
    <s v="North"/>
    <s v="25-34"/>
    <n v="4"/>
    <n v="5"/>
    <n v="5"/>
    <s v="455"/>
    <x v="1"/>
  </r>
  <r>
    <s v="C0032"/>
    <x v="4"/>
    <n v="102.73"/>
    <n v="2"/>
    <n v="51.76"/>
    <n v="51"/>
    <n v="18.8"/>
    <n v="4"/>
    <s v="No"/>
    <n v="0"/>
    <n v="60.5"/>
    <n v="14.2"/>
    <s v="Scotland"/>
    <s v="45-54"/>
    <n v="2"/>
    <n v="1"/>
    <n v="1"/>
    <s v="211"/>
    <x v="2"/>
  </r>
  <r>
    <s v="C0033"/>
    <x v="4"/>
    <n v="139.46"/>
    <n v="3"/>
    <n v="47.31"/>
    <n v="46"/>
    <n v="29.1"/>
    <n v="5"/>
    <s v="Yes"/>
    <n v="11"/>
    <n v="64.2"/>
    <n v="5.3"/>
    <s v="Midlands"/>
    <s v="18-24"/>
    <n v="3"/>
    <n v="2"/>
    <n v="2"/>
    <s v="322"/>
    <x v="4"/>
  </r>
  <r>
    <s v="C0034"/>
    <x v="1"/>
    <n v="267.24"/>
    <n v="6"/>
    <n v="41.29"/>
    <n v="23"/>
    <n v="79"/>
    <n v="4"/>
    <s v="No"/>
    <n v="0"/>
    <n v="47.8"/>
    <n v="14.4"/>
    <s v="Midlands"/>
    <s v="18-24"/>
    <n v="4"/>
    <n v="4"/>
    <n v="3"/>
    <s v="443"/>
    <x v="0"/>
  </r>
  <r>
    <s v="C0035"/>
    <x v="1"/>
    <n v="796.98"/>
    <n v="9"/>
    <n v="88.28"/>
    <n v="21"/>
    <n v="9.6999999999999993"/>
    <n v="3"/>
    <s v="Yes"/>
    <n v="7"/>
    <n v="49"/>
    <n v="15"/>
    <s v="London"/>
    <s v="18-24"/>
    <n v="5"/>
    <n v="5"/>
    <n v="5"/>
    <s v="555"/>
    <x v="1"/>
  </r>
  <r>
    <s v="C0036"/>
    <x v="2"/>
    <n v="183.86"/>
    <n v="6"/>
    <n v="29.55"/>
    <n v="56"/>
    <n v="52"/>
    <n v="1"/>
    <s v="No"/>
    <n v="0"/>
    <n v="41.7"/>
    <n v="12.8"/>
    <s v="Midlands"/>
    <s v="18-24"/>
    <n v="2"/>
    <n v="4"/>
    <n v="2"/>
    <s v="242"/>
    <x v="3"/>
  </r>
  <r>
    <s v="C0037"/>
    <x v="0"/>
    <n v="708.78"/>
    <n v="11"/>
    <n v="64.95"/>
    <n v="30"/>
    <n v="11.7"/>
    <n v="4"/>
    <s v="Yes"/>
    <n v="8"/>
    <n v="63.6"/>
    <n v="11.4"/>
    <s v="Midlands"/>
    <s v="45-54"/>
    <n v="4"/>
    <n v="5"/>
    <n v="5"/>
    <s v="455"/>
    <x v="1"/>
  </r>
  <r>
    <s v="C0038"/>
    <x v="4"/>
    <n v="242.61"/>
    <n v="5"/>
    <n v="51.38"/>
    <n v="54"/>
    <n v="38.4"/>
    <n v="5"/>
    <s v="No"/>
    <n v="0"/>
    <n v="42.7"/>
    <n v="6"/>
    <s v="South East"/>
    <s v="35-44"/>
    <n v="2"/>
    <n v="3"/>
    <n v="3"/>
    <s v="233"/>
    <x v="4"/>
  </r>
  <r>
    <s v="C0039"/>
    <x v="3"/>
    <n v="758.69"/>
    <n v="10"/>
    <n v="73.42"/>
    <n v="28"/>
    <n v="25.9"/>
    <n v="4"/>
    <s v="Yes"/>
    <n v="10"/>
    <n v="62"/>
    <n v="18.899999999999999"/>
    <s v="South East"/>
    <s v="25-34"/>
    <n v="4"/>
    <n v="5"/>
    <n v="5"/>
    <s v="455"/>
    <x v="1"/>
  </r>
  <r>
    <s v="C0040"/>
    <x v="5"/>
    <n v="78.010000000000005"/>
    <n v="2"/>
    <n v="39.03"/>
    <n v="162"/>
    <n v="3.6"/>
    <n v="1"/>
    <s v="No"/>
    <n v="0"/>
    <n v="4.8"/>
    <n v="7.5"/>
    <s v="South East"/>
    <s v="18-24"/>
    <n v="1"/>
    <n v="1"/>
    <n v="1"/>
    <s v="111"/>
    <x v="2"/>
  </r>
  <r>
    <s v="C0041"/>
    <x v="4"/>
    <n v="247.93"/>
    <n v="6"/>
    <n v="42.65"/>
    <n v="58"/>
    <n v="46.8"/>
    <n v="2"/>
    <s v="No"/>
    <n v="0"/>
    <n v="43.7"/>
    <n v="12.4"/>
    <s v="London"/>
    <s v="25-34"/>
    <n v="2"/>
    <n v="4"/>
    <n v="3"/>
    <s v="243"/>
    <x v="3"/>
  </r>
  <r>
    <s v="C0042"/>
    <x v="5"/>
    <n v="97.18"/>
    <n v="2"/>
    <n v="45.93"/>
    <n v="99"/>
    <n v="27.4"/>
    <n v="2"/>
    <s v="No"/>
    <n v="0"/>
    <n v="21.9"/>
    <n v="4.3"/>
    <s v="South East"/>
    <s v="25-34"/>
    <n v="2"/>
    <n v="1"/>
    <n v="1"/>
    <s v="211"/>
    <x v="2"/>
  </r>
  <r>
    <s v="C0043"/>
    <x v="4"/>
    <n v="154.81"/>
    <n v="3"/>
    <n v="54.7"/>
    <n v="202"/>
    <n v="30.2"/>
    <n v="2"/>
    <s v="No"/>
    <n v="0"/>
    <n v="2"/>
    <n v="5.2"/>
    <s v="London"/>
    <s v="25-34"/>
    <n v="1"/>
    <n v="2"/>
    <n v="2"/>
    <s v="122"/>
    <x v="2"/>
  </r>
  <r>
    <s v="C0044"/>
    <x v="1"/>
    <n v="158.29"/>
    <n v="3"/>
    <n v="56.32"/>
    <n v="44"/>
    <n v="26.6"/>
    <n v="4"/>
    <s v="Yes"/>
    <n v="9"/>
    <n v="19.100000000000001"/>
    <n v="14.5"/>
    <s v="South East"/>
    <s v="25-34"/>
    <n v="3"/>
    <n v="2"/>
    <n v="2"/>
    <s v="322"/>
    <x v="4"/>
  </r>
  <r>
    <s v="C0045"/>
    <x v="0"/>
    <n v="366.37"/>
    <n v="5"/>
    <n v="78"/>
    <n v="38"/>
    <n v="21.2"/>
    <n v="3"/>
    <s v="Yes"/>
    <n v="17"/>
    <n v="49.2"/>
    <n v="13.9"/>
    <s v="London"/>
    <s v="25-34"/>
    <n v="3"/>
    <n v="3"/>
    <n v="4"/>
    <s v="334"/>
    <x v="5"/>
  </r>
  <r>
    <s v="C0046"/>
    <x v="3"/>
    <n v="422.06"/>
    <n v="6"/>
    <n v="68.98"/>
    <n v="26"/>
    <n v="9.6999999999999993"/>
    <n v="4"/>
    <s v="No"/>
    <n v="0"/>
    <n v="56"/>
    <n v="8.3000000000000007"/>
    <s v="Scotland"/>
    <s v="35-44"/>
    <n v="4"/>
    <n v="4"/>
    <n v="4"/>
    <s v="444"/>
    <x v="1"/>
  </r>
  <r>
    <s v="C0047"/>
    <x v="0"/>
    <n v="385.43"/>
    <n v="9"/>
    <n v="46.46"/>
    <n v="7"/>
    <n v="17.600000000000001"/>
    <n v="3"/>
    <s v="Yes"/>
    <n v="16"/>
    <n v="52.2"/>
    <n v="20.399999999999999"/>
    <s v="North"/>
    <s v="35-44"/>
    <n v="5"/>
    <n v="5"/>
    <n v="4"/>
    <s v="554"/>
    <x v="1"/>
  </r>
  <r>
    <s v="C0048"/>
    <x v="5"/>
    <n v="319.3"/>
    <n v="6"/>
    <n v="52.81"/>
    <n v="25"/>
    <n v="0.1"/>
    <n v="5"/>
    <s v="No"/>
    <n v="0"/>
    <n v="38.1"/>
    <n v="12.8"/>
    <s v="North"/>
    <s v="18-24"/>
    <n v="4"/>
    <n v="4"/>
    <n v="4"/>
    <s v="444"/>
    <x v="1"/>
  </r>
  <r>
    <s v="C0049"/>
    <x v="5"/>
    <n v="389.33"/>
    <n v="7"/>
    <n v="56.57"/>
    <n v="18"/>
    <n v="25.7"/>
    <n v="4"/>
    <s v="No"/>
    <n v="0"/>
    <n v="39.200000000000003"/>
    <n v="1.5"/>
    <s v="North"/>
    <s v="25-34"/>
    <n v="5"/>
    <n v="5"/>
    <n v="4"/>
    <s v="554"/>
    <x v="1"/>
  </r>
  <r>
    <s v="C0050"/>
    <x v="4"/>
    <n v="153.22999999999999"/>
    <n v="2"/>
    <n v="72.650000000000006"/>
    <n v="109"/>
    <n v="19.899999999999999"/>
    <n v="3"/>
    <s v="No"/>
    <n v="0"/>
    <n v="9.1999999999999993"/>
    <n v="3.8"/>
    <s v="Midlands"/>
    <s v="35-44"/>
    <n v="1"/>
    <n v="1"/>
    <n v="2"/>
    <s v="112"/>
    <x v="2"/>
  </r>
  <r>
    <s v="C0051"/>
    <x v="1"/>
    <n v="247.72"/>
    <n v="5"/>
    <n v="47.73"/>
    <n v="153"/>
    <n v="29.4"/>
    <n v="3"/>
    <s v="Yes"/>
    <n v="6"/>
    <n v="12.5"/>
    <n v="5.2"/>
    <s v="London"/>
    <s v="35-44"/>
    <n v="1"/>
    <n v="3"/>
    <n v="3"/>
    <s v="133"/>
    <x v="4"/>
  </r>
  <r>
    <s v="C0052"/>
    <x v="2"/>
    <n v="268.93"/>
    <n v="5"/>
    <n v="56.64"/>
    <n v="148"/>
    <n v="18.3"/>
    <n v="1"/>
    <s v="No"/>
    <n v="0"/>
    <n v="14.2"/>
    <n v="7"/>
    <s v="Midlands"/>
    <s v="45-54"/>
    <n v="1"/>
    <n v="3"/>
    <n v="3"/>
    <s v="133"/>
    <x v="4"/>
  </r>
  <r>
    <s v="C0053"/>
    <x v="1"/>
    <n v="875.42"/>
    <n v="10"/>
    <n v="83.86"/>
    <n v="35"/>
    <n v="16.3"/>
    <n v="3"/>
    <s v="Yes"/>
    <n v="6"/>
    <n v="50"/>
    <n v="17.399999999999999"/>
    <s v="North"/>
    <s v="35-44"/>
    <n v="3"/>
    <n v="5"/>
    <n v="5"/>
    <s v="355"/>
    <x v="0"/>
  </r>
  <r>
    <s v="C0054"/>
    <x v="2"/>
    <n v="193.7"/>
    <n v="3"/>
    <n v="62.1"/>
    <n v="23"/>
    <n v="47.7"/>
    <n v="5"/>
    <s v="No"/>
    <n v="0"/>
    <n v="62.6"/>
    <n v="22"/>
    <s v="North"/>
    <s v="25-34"/>
    <n v="4"/>
    <n v="2"/>
    <n v="2"/>
    <s v="422"/>
    <x v="6"/>
  </r>
  <r>
    <s v="C0055"/>
    <x v="3"/>
    <n v="339.37"/>
    <n v="7"/>
    <n v="50.58"/>
    <n v="23"/>
    <n v="43.6"/>
    <n v="1"/>
    <s v="No"/>
    <n v="0"/>
    <n v="18.3"/>
    <n v="12.3"/>
    <s v="Midlands"/>
    <s v="18-24"/>
    <n v="4"/>
    <n v="5"/>
    <n v="4"/>
    <s v="454"/>
    <x v="1"/>
  </r>
  <r>
    <s v="C0056"/>
    <x v="1"/>
    <n v="254.76"/>
    <n v="6"/>
    <n v="40.229999999999997"/>
    <n v="46"/>
    <n v="44.7"/>
    <n v="3"/>
    <s v="No"/>
    <n v="0"/>
    <n v="41"/>
    <n v="11.1"/>
    <s v="London"/>
    <s v="35-44"/>
    <n v="3"/>
    <n v="4"/>
    <n v="3"/>
    <s v="343"/>
    <x v="0"/>
  </r>
  <r>
    <s v="C0057"/>
    <x v="4"/>
    <n v="222.9"/>
    <n v="5"/>
    <n v="44.26"/>
    <n v="72"/>
    <n v="45"/>
    <n v="3"/>
    <s v="No"/>
    <n v="0"/>
    <n v="45.3"/>
    <n v="5.8"/>
    <s v="South East"/>
    <s v="18-24"/>
    <n v="2"/>
    <n v="3"/>
    <n v="3"/>
    <s v="233"/>
    <x v="4"/>
  </r>
  <r>
    <s v="C0058"/>
    <x v="4"/>
    <n v="684.89"/>
    <n v="9"/>
    <n v="76"/>
    <n v="17"/>
    <n v="8.1"/>
    <n v="4"/>
    <s v="Yes"/>
    <n v="13"/>
    <n v="64.7"/>
    <n v="27.5"/>
    <s v="South East"/>
    <s v="35-44"/>
    <n v="5"/>
    <n v="5"/>
    <n v="5"/>
    <s v="555"/>
    <x v="1"/>
  </r>
  <r>
    <s v="C0059"/>
    <x v="4"/>
    <n v="745.08"/>
    <n v="10"/>
    <n v="77.66"/>
    <n v="33"/>
    <n v="1.4"/>
    <n v="4"/>
    <s v="Yes"/>
    <n v="9"/>
    <n v="61.7"/>
    <n v="14.7"/>
    <s v="North"/>
    <s v="55+"/>
    <n v="3"/>
    <n v="5"/>
    <n v="5"/>
    <s v="355"/>
    <x v="0"/>
  </r>
  <r>
    <s v="C0060"/>
    <x v="0"/>
    <n v="99.74"/>
    <n v="2"/>
    <n v="52.49"/>
    <n v="113"/>
    <n v="13.5"/>
    <n v="2"/>
    <s v="No"/>
    <n v="0"/>
    <n v="27.8"/>
    <n v="9.3000000000000007"/>
    <s v="Midlands"/>
    <s v="35-44"/>
    <n v="1"/>
    <n v="1"/>
    <n v="1"/>
    <s v="111"/>
    <x v="2"/>
  </r>
  <r>
    <s v="C0061"/>
    <x v="0"/>
    <n v="622"/>
    <n v="10"/>
    <n v="65.900000000000006"/>
    <n v="24"/>
    <n v="11.2"/>
    <n v="3"/>
    <s v="No"/>
    <n v="0"/>
    <n v="63.8"/>
    <n v="8.8000000000000007"/>
    <s v="South East"/>
    <s v="25-34"/>
    <n v="4"/>
    <n v="5"/>
    <n v="5"/>
    <s v="455"/>
    <x v="1"/>
  </r>
  <r>
    <s v="C0062"/>
    <x v="0"/>
    <n v="62.78"/>
    <n v="1"/>
    <n v="63.67"/>
    <n v="217"/>
    <n v="18.3"/>
    <n v="1"/>
    <s v="No"/>
    <n v="0"/>
    <n v="8.4"/>
    <n v="9.4"/>
    <s v="Wales"/>
    <s v="35-44"/>
    <n v="1"/>
    <n v="1"/>
    <n v="1"/>
    <s v="111"/>
    <x v="2"/>
  </r>
  <r>
    <s v="C0063"/>
    <x v="2"/>
    <n v="344.11"/>
    <n v="4"/>
    <n v="84.63"/>
    <n v="54"/>
    <n v="8.6999999999999993"/>
    <n v="3"/>
    <s v="Yes"/>
    <n v="12"/>
    <n v="78.3"/>
    <n v="25.4"/>
    <s v="North"/>
    <s v="25-34"/>
    <n v="2"/>
    <n v="3"/>
    <n v="4"/>
    <s v="234"/>
    <x v="5"/>
  </r>
  <r>
    <s v="C0064"/>
    <x v="0"/>
    <n v="386.35"/>
    <n v="8"/>
    <n v="46.74"/>
    <n v="28"/>
    <n v="57.3"/>
    <n v="2"/>
    <s v="Yes"/>
    <n v="5"/>
    <n v="49.2"/>
    <n v="7.4"/>
    <s v="South East"/>
    <s v="35-44"/>
    <n v="4"/>
    <n v="5"/>
    <n v="4"/>
    <s v="454"/>
    <x v="1"/>
  </r>
  <r>
    <s v="C0065"/>
    <x v="0"/>
    <n v="335.1"/>
    <n v="6"/>
    <n v="53.82"/>
    <n v="36"/>
    <n v="34.299999999999997"/>
    <n v="2"/>
    <s v="Yes"/>
    <n v="1"/>
    <n v="42.8"/>
    <n v="4.5"/>
    <s v="London"/>
    <s v="55+"/>
    <n v="3"/>
    <n v="4"/>
    <n v="4"/>
    <s v="344"/>
    <x v="0"/>
  </r>
  <r>
    <s v="C0066"/>
    <x v="5"/>
    <n v="172.89"/>
    <n v="3"/>
    <n v="56.83"/>
    <n v="51"/>
    <n v="62.7"/>
    <n v="2"/>
    <s v="No"/>
    <n v="0"/>
    <n v="28.4"/>
    <n v="14.8"/>
    <s v="London"/>
    <s v="25-34"/>
    <n v="2"/>
    <n v="2"/>
    <n v="2"/>
    <s v="222"/>
    <x v="2"/>
  </r>
  <r>
    <s v="C0067"/>
    <x v="4"/>
    <n v="51.82"/>
    <n v="1"/>
    <n v="49.13"/>
    <n v="146"/>
    <n v="10.8"/>
    <n v="1"/>
    <s v="No"/>
    <n v="0"/>
    <n v="30.3"/>
    <n v="4.4000000000000004"/>
    <s v="South East"/>
    <s v="55+"/>
    <n v="1"/>
    <n v="1"/>
    <n v="1"/>
    <s v="111"/>
    <x v="2"/>
  </r>
  <r>
    <s v="C0068"/>
    <x v="2"/>
    <n v="249.75"/>
    <n v="7"/>
    <n v="37.74"/>
    <n v="3"/>
    <n v="34"/>
    <n v="2"/>
    <s v="No"/>
    <n v="0"/>
    <n v="55.7"/>
    <n v="13.6"/>
    <s v="London"/>
    <s v="55+"/>
    <n v="5"/>
    <n v="5"/>
    <n v="3"/>
    <s v="553"/>
    <x v="0"/>
  </r>
  <r>
    <s v="C0069"/>
    <x v="4"/>
    <n v="123.83"/>
    <n v="3"/>
    <n v="43.02"/>
    <n v="174"/>
    <n v="25"/>
    <n v="3"/>
    <s v="No"/>
    <n v="0"/>
    <n v="14.2"/>
    <n v="2.2999999999999998"/>
    <s v="London"/>
    <s v="25-34"/>
    <n v="1"/>
    <n v="2"/>
    <n v="1"/>
    <s v="121"/>
    <x v="2"/>
  </r>
  <r>
    <s v="C0070"/>
    <x v="1"/>
    <n v="208.97"/>
    <n v="5"/>
    <n v="44.94"/>
    <n v="23"/>
    <n v="59"/>
    <n v="4"/>
    <s v="Yes"/>
    <n v="5"/>
    <n v="32.700000000000003"/>
    <n v="9.9"/>
    <s v="South East"/>
    <s v="18-24"/>
    <n v="4"/>
    <n v="3"/>
    <n v="2"/>
    <s v="432"/>
    <x v="4"/>
  </r>
  <r>
    <s v="C0071"/>
    <x v="2"/>
    <n v="63.09"/>
    <n v="1"/>
    <n v="65.61"/>
    <n v="127"/>
    <n v="29.4"/>
    <n v="2"/>
    <s v="No"/>
    <n v="0"/>
    <n v="26.1"/>
    <n v="4.7"/>
    <s v="London"/>
    <s v="18-24"/>
    <n v="1"/>
    <n v="1"/>
    <n v="1"/>
    <s v="111"/>
    <x v="2"/>
  </r>
  <r>
    <s v="C0072"/>
    <x v="4"/>
    <n v="190.74"/>
    <n v="3"/>
    <n v="65.150000000000006"/>
    <n v="40"/>
    <n v="13.5"/>
    <n v="3"/>
    <s v="No"/>
    <n v="0"/>
    <n v="48.8"/>
    <n v="14.7"/>
    <s v="Scotland"/>
    <s v="18-24"/>
    <n v="3"/>
    <n v="2"/>
    <n v="2"/>
    <s v="322"/>
    <x v="4"/>
  </r>
  <r>
    <s v="C0073"/>
    <x v="4"/>
    <n v="93.57"/>
    <n v="2"/>
    <n v="45.28"/>
    <n v="191"/>
    <n v="24"/>
    <n v="1"/>
    <s v="No"/>
    <n v="0"/>
    <n v="22.5"/>
    <n v="4.0999999999999996"/>
    <s v="London"/>
    <s v="18-24"/>
    <n v="1"/>
    <n v="1"/>
    <n v="1"/>
    <s v="111"/>
    <x v="2"/>
  </r>
  <r>
    <s v="C0074"/>
    <x v="2"/>
    <n v="513.5"/>
    <n v="8"/>
    <n v="63.72"/>
    <n v="11"/>
    <n v="12.5"/>
    <n v="1"/>
    <s v="Yes"/>
    <n v="10"/>
    <n v="80.099999999999994"/>
    <n v="24.8"/>
    <s v="Midlands"/>
    <s v="35-44"/>
    <n v="5"/>
    <n v="5"/>
    <n v="5"/>
    <s v="555"/>
    <x v="1"/>
  </r>
  <r>
    <s v="C0075"/>
    <x v="3"/>
    <n v="351.23"/>
    <n v="5"/>
    <n v="72.209999999999994"/>
    <n v="21"/>
    <n v="7.6"/>
    <n v="5"/>
    <s v="Yes"/>
    <n v="9"/>
    <n v="63.2"/>
    <n v="12.5"/>
    <s v="Midlands"/>
    <s v="18-24"/>
    <n v="5"/>
    <n v="3"/>
    <n v="4"/>
    <s v="534"/>
    <x v="5"/>
  </r>
  <r>
    <s v="C0076"/>
    <x v="2"/>
    <n v="170.58"/>
    <n v="4"/>
    <n v="42.98"/>
    <n v="46"/>
    <n v="67.5"/>
    <n v="2"/>
    <s v="No"/>
    <n v="0"/>
    <n v="34.4"/>
    <n v="12"/>
    <s v="Wales"/>
    <s v="25-34"/>
    <n v="3"/>
    <n v="3"/>
    <n v="2"/>
    <s v="332"/>
    <x v="4"/>
  </r>
  <r>
    <s v="C0077"/>
    <x v="2"/>
    <n v="174.25"/>
    <n v="3"/>
    <n v="54.07"/>
    <n v="283"/>
    <n v="20.2"/>
    <n v="2"/>
    <s v="No"/>
    <n v="0"/>
    <n v="16"/>
    <n v="8.9"/>
    <s v="London"/>
    <s v="45-54"/>
    <n v="1"/>
    <n v="2"/>
    <n v="2"/>
    <s v="122"/>
    <x v="2"/>
  </r>
  <r>
    <s v="C0078"/>
    <x v="4"/>
    <n v="441.12"/>
    <n v="6"/>
    <n v="73.13"/>
    <n v="35"/>
    <n v="3.4"/>
    <n v="3"/>
    <s v="Yes"/>
    <n v="16"/>
    <n v="62.4"/>
    <n v="19.8"/>
    <s v="South East"/>
    <s v="18-24"/>
    <n v="3"/>
    <n v="4"/>
    <n v="4"/>
    <s v="344"/>
    <x v="0"/>
  </r>
  <r>
    <s v="C0079"/>
    <x v="0"/>
    <n v="247.14"/>
    <n v="5"/>
    <n v="45.88"/>
    <n v="27"/>
    <n v="37.799999999999997"/>
    <n v="4"/>
    <s v="No"/>
    <n v="0"/>
    <n v="35.299999999999997"/>
    <n v="11.9"/>
    <s v="Wales"/>
    <s v="45-54"/>
    <n v="4"/>
    <n v="3"/>
    <n v="3"/>
    <s v="433"/>
    <x v="4"/>
  </r>
  <r>
    <s v="C0080"/>
    <x v="4"/>
    <n v="100.4"/>
    <n v="2"/>
    <n v="50.16"/>
    <n v="159"/>
    <n v="12.4"/>
    <n v="4"/>
    <s v="Yes"/>
    <n v="1"/>
    <n v="23.5"/>
    <n v="5.7"/>
    <s v="Scotland"/>
    <s v="25-34"/>
    <n v="1"/>
    <n v="1"/>
    <n v="1"/>
    <s v="111"/>
    <x v="2"/>
  </r>
  <r>
    <s v="C0081"/>
    <x v="2"/>
    <n v="229.09"/>
    <n v="5"/>
    <n v="45.62"/>
    <n v="48"/>
    <n v="35.299999999999997"/>
    <n v="2"/>
    <s v="Yes"/>
    <n v="8"/>
    <n v="38.299999999999997"/>
    <n v="8.9"/>
    <s v="North"/>
    <s v="18-24"/>
    <n v="3"/>
    <n v="3"/>
    <n v="3"/>
    <s v="333"/>
    <x v="4"/>
  </r>
  <r>
    <s v="C0082"/>
    <x v="3"/>
    <n v="354.73"/>
    <n v="6"/>
    <n v="60.93"/>
    <n v="28"/>
    <n v="27.9"/>
    <n v="5"/>
    <s v="No"/>
    <n v="0"/>
    <n v="45"/>
    <n v="22"/>
    <s v="South East"/>
    <s v="35-44"/>
    <n v="4"/>
    <n v="4"/>
    <n v="4"/>
    <s v="444"/>
    <x v="1"/>
  </r>
  <r>
    <s v="C0083"/>
    <x v="0"/>
    <n v="716.91"/>
    <n v="8"/>
    <n v="85.17"/>
    <n v="1"/>
    <n v="11.3"/>
    <n v="3"/>
    <s v="Yes"/>
    <n v="10"/>
    <n v="67.900000000000006"/>
    <n v="18.7"/>
    <s v="London"/>
    <s v="35-44"/>
    <n v="5"/>
    <n v="5"/>
    <n v="5"/>
    <s v="555"/>
    <x v="1"/>
  </r>
  <r>
    <s v="C0084"/>
    <x v="4"/>
    <n v="440.48"/>
    <n v="6"/>
    <n v="69.61"/>
    <n v="19"/>
    <n v="9.8000000000000007"/>
    <n v="3"/>
    <s v="Yes"/>
    <n v="15"/>
    <n v="71.099999999999994"/>
    <n v="8.4"/>
    <s v="North"/>
    <s v="45-54"/>
    <n v="5"/>
    <n v="4"/>
    <n v="4"/>
    <s v="544"/>
    <x v="1"/>
  </r>
  <r>
    <s v="C0085"/>
    <x v="0"/>
    <n v="222.9"/>
    <n v="4"/>
    <n v="59.84"/>
    <n v="99"/>
    <n v="21.8"/>
    <n v="2"/>
    <s v="No"/>
    <n v="0"/>
    <n v="31.6"/>
    <n v="1.6"/>
    <s v="Wales"/>
    <s v="35-44"/>
    <n v="2"/>
    <n v="3"/>
    <n v="3"/>
    <s v="233"/>
    <x v="4"/>
  </r>
  <r>
    <s v="C0086"/>
    <x v="0"/>
    <n v="228.56"/>
    <n v="6"/>
    <n v="39.93"/>
    <n v="30"/>
    <n v="55"/>
    <n v="3"/>
    <s v="No"/>
    <n v="0"/>
    <n v="24.5"/>
    <n v="2.2999999999999998"/>
    <s v="Midlands"/>
    <s v="45-54"/>
    <n v="4"/>
    <n v="4"/>
    <n v="3"/>
    <s v="443"/>
    <x v="0"/>
  </r>
  <r>
    <s v="C0087"/>
    <x v="2"/>
    <n v="195.46"/>
    <n v="3"/>
    <n v="61.17"/>
    <n v="155"/>
    <n v="23.8"/>
    <n v="2"/>
    <s v="No"/>
    <n v="0"/>
    <n v="12.3"/>
    <n v="7.5"/>
    <s v="Midlands"/>
    <s v="25-34"/>
    <n v="1"/>
    <n v="2"/>
    <n v="2"/>
    <s v="122"/>
    <x v="2"/>
  </r>
  <r>
    <s v="C0088"/>
    <x v="3"/>
    <n v="375.46"/>
    <n v="7"/>
    <n v="57.2"/>
    <n v="20"/>
    <n v="46.4"/>
    <n v="4"/>
    <s v="No"/>
    <n v="0"/>
    <n v="36.799999999999997"/>
    <n v="11"/>
    <s v="South East"/>
    <s v="25-34"/>
    <n v="5"/>
    <n v="5"/>
    <n v="4"/>
    <s v="554"/>
    <x v="1"/>
  </r>
  <r>
    <s v="C0089"/>
    <x v="2"/>
    <n v="489.29"/>
    <n v="7"/>
    <n v="66.650000000000006"/>
    <n v="27"/>
    <n v="11.5"/>
    <n v="4"/>
    <s v="Yes"/>
    <n v="10"/>
    <n v="65"/>
    <n v="17"/>
    <s v="North"/>
    <s v="45-54"/>
    <n v="4"/>
    <n v="5"/>
    <n v="5"/>
    <s v="455"/>
    <x v="1"/>
  </r>
  <r>
    <s v="C0090"/>
    <x v="5"/>
    <n v="249.52"/>
    <n v="5"/>
    <n v="49.58"/>
    <n v="25"/>
    <n v="36.9"/>
    <n v="5"/>
    <s v="No"/>
    <n v="0"/>
    <n v="51.4"/>
    <n v="9.8000000000000007"/>
    <s v="London"/>
    <s v="45-54"/>
    <n v="4"/>
    <n v="3"/>
    <n v="3"/>
    <s v="433"/>
    <x v="4"/>
  </r>
  <r>
    <s v="C0091"/>
    <x v="4"/>
    <n v="203.56"/>
    <n v="4"/>
    <n v="54.86"/>
    <n v="29"/>
    <n v="25.8"/>
    <n v="5"/>
    <s v="Yes"/>
    <n v="3"/>
    <n v="58.5"/>
    <n v="8.6999999999999993"/>
    <s v="South East"/>
    <s v="55+"/>
    <n v="4"/>
    <n v="3"/>
    <n v="2"/>
    <s v="432"/>
    <x v="4"/>
  </r>
  <r>
    <s v="C0092"/>
    <x v="3"/>
    <n v="212.62"/>
    <n v="3"/>
    <n v="75.53"/>
    <n v="132"/>
    <n v="21"/>
    <n v="2"/>
    <s v="Yes"/>
    <n v="5"/>
    <n v="24.8"/>
    <n v="8.5"/>
    <s v="Midlands"/>
    <s v="25-34"/>
    <n v="1"/>
    <n v="2"/>
    <n v="3"/>
    <s v="123"/>
    <x v="2"/>
  </r>
  <r>
    <s v="C0093"/>
    <x v="2"/>
    <n v="327.31"/>
    <n v="7"/>
    <n v="46.01"/>
    <n v="60"/>
    <n v="50.3"/>
    <n v="1"/>
    <s v="No"/>
    <n v="0"/>
    <n v="44.8"/>
    <n v="15.9"/>
    <s v="Midlands"/>
    <s v="25-34"/>
    <n v="2"/>
    <n v="5"/>
    <n v="4"/>
    <s v="254"/>
    <x v="3"/>
  </r>
  <r>
    <s v="C0094"/>
    <x v="5"/>
    <n v="106.91"/>
    <n v="2"/>
    <n v="53.35"/>
    <n v="212"/>
    <n v="31.5"/>
    <n v="3"/>
    <s v="No"/>
    <n v="0"/>
    <n v="13.9"/>
    <n v="7.3"/>
    <s v="South East"/>
    <s v="45-54"/>
    <n v="1"/>
    <n v="1"/>
    <n v="1"/>
    <s v="111"/>
    <x v="2"/>
  </r>
  <r>
    <s v="C0095"/>
    <x v="2"/>
    <n v="164.17"/>
    <n v="5"/>
    <n v="35.25"/>
    <n v="36"/>
    <n v="74.099999999999994"/>
    <n v="3"/>
    <s v="No"/>
    <n v="0"/>
    <n v="43.5"/>
    <n v="19.2"/>
    <s v="London"/>
    <s v="25-34"/>
    <n v="3"/>
    <n v="3"/>
    <n v="2"/>
    <s v="332"/>
    <x v="4"/>
  </r>
  <r>
    <s v="C0096"/>
    <x v="5"/>
    <n v="498.47"/>
    <n v="8"/>
    <n v="64.58"/>
    <n v="16"/>
    <n v="4.0999999999999996"/>
    <n v="3"/>
    <s v="Yes"/>
    <n v="11"/>
    <n v="31.2"/>
    <n v="18.3"/>
    <s v="North"/>
    <s v="55+"/>
    <n v="5"/>
    <n v="5"/>
    <n v="5"/>
    <s v="555"/>
    <x v="1"/>
  </r>
  <r>
    <s v="C0097"/>
    <x v="5"/>
    <n v="113.6"/>
    <n v="2"/>
    <n v="58.74"/>
    <n v="29"/>
    <n v="11.4"/>
    <n v="4"/>
    <s v="No"/>
    <n v="0"/>
    <n v="52.8"/>
    <n v="26.7"/>
    <s v="South East"/>
    <s v="45-54"/>
    <n v="4"/>
    <n v="1"/>
    <n v="1"/>
    <s v="411"/>
    <x v="6"/>
  </r>
  <r>
    <s v="C0098"/>
    <x v="0"/>
    <n v="568.82000000000005"/>
    <n v="7"/>
    <n v="78.709999999999994"/>
    <n v="14"/>
    <n v="13.3"/>
    <n v="3"/>
    <s v="Yes"/>
    <n v="8"/>
    <n v="55.8"/>
    <n v="21.4"/>
    <s v="North"/>
    <s v="25-34"/>
    <n v="5"/>
    <n v="5"/>
    <n v="5"/>
    <s v="555"/>
    <x v="1"/>
  </r>
  <r>
    <s v="C0099"/>
    <x v="4"/>
    <n v="142.82"/>
    <n v="3"/>
    <n v="44.38"/>
    <n v="6"/>
    <n v="8"/>
    <n v="5"/>
    <s v="No"/>
    <n v="0"/>
    <n v="53.1"/>
    <n v="17.600000000000001"/>
    <s v="London"/>
    <s v="45-54"/>
    <n v="5"/>
    <n v="2"/>
    <n v="2"/>
    <s v="522"/>
    <x v="6"/>
  </r>
  <r>
    <s v="C0100"/>
    <x v="4"/>
    <n v="150.56"/>
    <n v="4"/>
    <n v="38.14"/>
    <n v="72"/>
    <n v="49.8"/>
    <n v="3"/>
    <s v="Yes"/>
    <n v="3"/>
    <n v="15.9"/>
    <n v="6.4"/>
    <s v="Midlands"/>
    <s v="45-54"/>
    <n v="2"/>
    <n v="3"/>
    <n v="2"/>
    <s v="232"/>
    <x v="4"/>
  </r>
  <r>
    <s v="C0101"/>
    <x v="4"/>
    <n v="483.88"/>
    <n v="7"/>
    <n v="70.69"/>
    <n v="21"/>
    <n v="12.5"/>
    <n v="3"/>
    <s v="No"/>
    <n v="0"/>
    <n v="70.7"/>
    <n v="21.8"/>
    <s v="Midlands"/>
    <s v="18-24"/>
    <n v="5"/>
    <n v="5"/>
    <n v="5"/>
    <s v="555"/>
    <x v="1"/>
  </r>
  <r>
    <s v="C0102"/>
    <x v="3"/>
    <n v="104.13"/>
    <n v="2"/>
    <n v="55.23"/>
    <n v="150"/>
    <n v="29.1"/>
    <n v="2"/>
    <s v="No"/>
    <n v="0"/>
    <n v="24.3"/>
    <n v="5.2"/>
    <s v="London"/>
    <s v="55+"/>
    <n v="1"/>
    <n v="1"/>
    <n v="1"/>
    <s v="111"/>
    <x v="2"/>
  </r>
  <r>
    <s v="C0103"/>
    <x v="0"/>
    <n v="179.45"/>
    <n v="3"/>
    <n v="57.7"/>
    <n v="32"/>
    <n v="23.9"/>
    <n v="3"/>
    <s v="No"/>
    <n v="0"/>
    <n v="28.4"/>
    <n v="16.7"/>
    <s v="South East"/>
    <s v="35-44"/>
    <n v="4"/>
    <n v="2"/>
    <n v="2"/>
    <s v="422"/>
    <x v="6"/>
  </r>
  <r>
    <s v="C0104"/>
    <x v="5"/>
    <n v="188.99"/>
    <n v="3"/>
    <n v="60.13"/>
    <n v="219"/>
    <n v="15.5"/>
    <n v="1"/>
    <s v="No"/>
    <n v="0"/>
    <n v="29.4"/>
    <n v="4.2"/>
    <s v="London"/>
    <s v="45-54"/>
    <n v="1"/>
    <n v="2"/>
    <n v="2"/>
    <s v="122"/>
    <x v="2"/>
  </r>
  <r>
    <s v="C0105"/>
    <x v="1"/>
    <n v="436.97"/>
    <n v="7"/>
    <n v="60.6"/>
    <n v="32"/>
    <n v="28.6"/>
    <n v="5"/>
    <s v="Yes"/>
    <n v="2"/>
    <n v="59.7"/>
    <n v="20.9"/>
    <s v="London"/>
    <s v="25-34"/>
    <n v="4"/>
    <n v="5"/>
    <n v="4"/>
    <s v="454"/>
    <x v="1"/>
  </r>
  <r>
    <s v="C0106"/>
    <x v="0"/>
    <n v="116.18"/>
    <n v="3"/>
    <n v="41.91"/>
    <n v="90"/>
    <n v="17.899999999999999"/>
    <n v="1"/>
    <s v="No"/>
    <n v="0"/>
    <n v="14.3"/>
    <n v="3.7"/>
    <s v="Wales"/>
    <s v="45-54"/>
    <n v="2"/>
    <n v="2"/>
    <n v="1"/>
    <s v="221"/>
    <x v="2"/>
  </r>
  <r>
    <s v="C0107"/>
    <x v="0"/>
    <n v="274.04000000000002"/>
    <n v="4"/>
    <n v="71.75"/>
    <n v="130"/>
    <n v="16.399999999999999"/>
    <n v="1"/>
    <s v="No"/>
    <n v="0"/>
    <n v="15.6"/>
    <n v="0.1"/>
    <s v="South East"/>
    <s v="25-34"/>
    <n v="1"/>
    <n v="3"/>
    <n v="3"/>
    <s v="133"/>
    <x v="4"/>
  </r>
  <r>
    <s v="C0108"/>
    <x v="2"/>
    <n v="434.36"/>
    <n v="7"/>
    <n v="57.76"/>
    <n v="20"/>
    <n v="28.8"/>
    <n v="5"/>
    <s v="No"/>
    <n v="0"/>
    <n v="48.1"/>
    <n v="10.6"/>
    <s v="North"/>
    <s v="18-24"/>
    <n v="5"/>
    <n v="5"/>
    <n v="4"/>
    <s v="554"/>
    <x v="1"/>
  </r>
  <r>
    <s v="C0109"/>
    <x v="4"/>
    <n v="527.16999999999996"/>
    <n v="7"/>
    <n v="70.900000000000006"/>
    <n v="19"/>
    <n v="11.5"/>
    <n v="3"/>
    <s v="Yes"/>
    <n v="18"/>
    <n v="54.9"/>
    <n v="17.100000000000001"/>
    <s v="South East"/>
    <s v="55+"/>
    <n v="5"/>
    <n v="5"/>
    <n v="5"/>
    <s v="555"/>
    <x v="1"/>
  </r>
  <r>
    <s v="C0110"/>
    <x v="4"/>
    <n v="362.06"/>
    <n v="8"/>
    <n v="44.96"/>
    <n v="48"/>
    <n v="46.7"/>
    <n v="1"/>
    <s v="No"/>
    <n v="0"/>
    <n v="26.7"/>
    <n v="10.7"/>
    <s v="North"/>
    <s v="18-24"/>
    <n v="3"/>
    <n v="5"/>
    <n v="4"/>
    <s v="354"/>
    <x v="0"/>
  </r>
  <r>
    <s v="C0111"/>
    <x v="0"/>
    <n v="382.33"/>
    <n v="5"/>
    <n v="78.38"/>
    <n v="2"/>
    <n v="15"/>
    <n v="3"/>
    <s v="Yes"/>
    <n v="6"/>
    <n v="45.6"/>
    <n v="16.3"/>
    <s v="North"/>
    <s v="25-34"/>
    <n v="5"/>
    <n v="3"/>
    <n v="4"/>
    <s v="534"/>
    <x v="5"/>
  </r>
  <r>
    <s v="C0112"/>
    <x v="4"/>
    <n v="244.41"/>
    <n v="5"/>
    <n v="48.35"/>
    <n v="72"/>
    <n v="28.4"/>
    <n v="4"/>
    <s v="No"/>
    <n v="0"/>
    <n v="50.9"/>
    <n v="17.5"/>
    <s v="North"/>
    <s v="55+"/>
    <n v="2"/>
    <n v="3"/>
    <n v="3"/>
    <s v="233"/>
    <x v="4"/>
  </r>
  <r>
    <s v="C0113"/>
    <x v="1"/>
    <n v="132.34"/>
    <n v="2"/>
    <n v="62.47"/>
    <n v="33"/>
    <n v="21.3"/>
    <n v="6"/>
    <s v="Yes"/>
    <n v="3"/>
    <n v="50.7"/>
    <n v="21.8"/>
    <s v="Midlands"/>
    <s v="55+"/>
    <n v="3"/>
    <n v="1"/>
    <n v="2"/>
    <s v="312"/>
    <x v="4"/>
  </r>
  <r>
    <s v="C0114"/>
    <x v="2"/>
    <n v="586.58000000000004"/>
    <n v="8"/>
    <n v="68.08"/>
    <n v="19"/>
    <n v="13.6"/>
    <n v="4"/>
    <s v="No"/>
    <n v="0"/>
    <n v="51.6"/>
    <n v="15.4"/>
    <s v="Midlands"/>
    <s v="35-44"/>
    <n v="5"/>
    <n v="5"/>
    <n v="5"/>
    <s v="555"/>
    <x v="1"/>
  </r>
  <r>
    <s v="C0115"/>
    <x v="3"/>
    <n v="67.27"/>
    <n v="1"/>
    <n v="68.510000000000005"/>
    <n v="60"/>
    <n v="21.5"/>
    <n v="3"/>
    <s v="No"/>
    <n v="0"/>
    <n v="27.1"/>
    <n v="2.8"/>
    <s v="South East"/>
    <s v="35-44"/>
    <n v="2"/>
    <n v="1"/>
    <n v="1"/>
    <s v="211"/>
    <x v="2"/>
  </r>
  <r>
    <s v="C0116"/>
    <x v="2"/>
    <n v="185.06"/>
    <n v="2"/>
    <n v="86.24"/>
    <n v="39"/>
    <n v="36.6"/>
    <n v="4"/>
    <s v="No"/>
    <n v="0"/>
    <n v="50.9"/>
    <n v="15.1"/>
    <s v="Wales"/>
    <s v="25-34"/>
    <n v="3"/>
    <n v="1"/>
    <n v="2"/>
    <s v="312"/>
    <x v="4"/>
  </r>
  <r>
    <s v="C0117"/>
    <x v="2"/>
    <n v="701.44"/>
    <n v="10"/>
    <n v="70.03"/>
    <n v="21"/>
    <n v="11.1"/>
    <n v="5"/>
    <s v="No"/>
    <n v="0"/>
    <n v="54.4"/>
    <n v="21"/>
    <s v="Scotland"/>
    <s v="25-34"/>
    <n v="5"/>
    <n v="5"/>
    <n v="5"/>
    <s v="555"/>
    <x v="1"/>
  </r>
  <r>
    <s v="C0118"/>
    <x v="4"/>
    <n v="168.12"/>
    <n v="3"/>
    <n v="57.34"/>
    <n v="122"/>
    <n v="21.8"/>
    <n v="3"/>
    <s v="No"/>
    <n v="0"/>
    <n v="29.6"/>
    <n v="3.8"/>
    <s v="Wales"/>
    <s v="25-34"/>
    <n v="1"/>
    <n v="2"/>
    <n v="2"/>
    <s v="122"/>
    <x v="2"/>
  </r>
  <r>
    <s v="C0119"/>
    <x v="2"/>
    <n v="163.84"/>
    <n v="3"/>
    <n v="52.36"/>
    <n v="52"/>
    <n v="34.6"/>
    <n v="5"/>
    <s v="Yes"/>
    <n v="9"/>
    <n v="55.2"/>
    <n v="15.1"/>
    <s v="London"/>
    <s v="35-44"/>
    <n v="2"/>
    <n v="2"/>
    <n v="2"/>
    <s v="222"/>
    <x v="2"/>
  </r>
  <r>
    <s v="C0120"/>
    <x v="5"/>
    <n v="468.38"/>
    <n v="6"/>
    <n v="83.89"/>
    <n v="28"/>
    <n v="16.2"/>
    <n v="5"/>
    <s v="Yes"/>
    <n v="8"/>
    <n v="55.7"/>
    <n v="7.8"/>
    <s v="North"/>
    <s v="45-54"/>
    <n v="4"/>
    <n v="4"/>
    <n v="4"/>
    <s v="444"/>
    <x v="1"/>
  </r>
  <r>
    <s v="C0121"/>
    <x v="2"/>
    <n v="42.38"/>
    <n v="1"/>
    <n v="45.49"/>
    <n v="54"/>
    <n v="18.899999999999999"/>
    <n v="2"/>
    <s v="Yes"/>
    <n v="5"/>
    <n v="22"/>
    <n v="4.5"/>
    <s v="Wales"/>
    <s v="45-54"/>
    <n v="2"/>
    <n v="1"/>
    <n v="1"/>
    <s v="211"/>
    <x v="2"/>
  </r>
  <r>
    <s v="C0122"/>
    <x v="2"/>
    <n v="186.2"/>
    <n v="6"/>
    <n v="29.14"/>
    <n v="24"/>
    <n v="38.799999999999997"/>
    <n v="2"/>
    <s v="No"/>
    <n v="0"/>
    <n v="36.5"/>
    <n v="12.8"/>
    <s v="London"/>
    <s v="45-54"/>
    <n v="4"/>
    <n v="4"/>
    <n v="2"/>
    <s v="442"/>
    <x v="0"/>
  </r>
  <r>
    <s v="C0123"/>
    <x v="0"/>
    <n v="169.8"/>
    <n v="4"/>
    <n v="39.97"/>
    <n v="12"/>
    <n v="32.4"/>
    <n v="5"/>
    <s v="Yes"/>
    <n v="8"/>
    <n v="39.5"/>
    <n v="14.7"/>
    <s v="London"/>
    <s v="18-24"/>
    <n v="5"/>
    <n v="3"/>
    <n v="2"/>
    <s v="532"/>
    <x v="4"/>
  </r>
  <r>
    <s v="C0124"/>
    <x v="4"/>
    <n v="125.11"/>
    <n v="2"/>
    <n v="59.65"/>
    <n v="57"/>
    <n v="44"/>
    <n v="5"/>
    <s v="Yes"/>
    <n v="6"/>
    <n v="56.4"/>
    <n v="15.8"/>
    <s v="North"/>
    <s v="25-34"/>
    <n v="2"/>
    <n v="1"/>
    <n v="1"/>
    <s v="211"/>
    <x v="2"/>
  </r>
  <r>
    <s v="C0125"/>
    <x v="4"/>
    <n v="538.51"/>
    <n v="7"/>
    <n v="82.84"/>
    <n v="25"/>
    <n v="29.9"/>
    <n v="4"/>
    <s v="Yes"/>
    <n v="2"/>
    <n v="51.4"/>
    <n v="8.3000000000000007"/>
    <s v="Midlands"/>
    <s v="18-24"/>
    <n v="4"/>
    <n v="5"/>
    <n v="5"/>
    <s v="455"/>
    <x v="1"/>
  </r>
  <r>
    <s v="C0126"/>
    <x v="0"/>
    <n v="190.89"/>
    <n v="4"/>
    <n v="50.97"/>
    <n v="39"/>
    <n v="48"/>
    <n v="2"/>
    <s v="No"/>
    <n v="0"/>
    <n v="39.6"/>
    <n v="6.6"/>
    <s v="Scotland"/>
    <s v="35-44"/>
    <n v="3"/>
    <n v="3"/>
    <n v="2"/>
    <s v="332"/>
    <x v="4"/>
  </r>
  <r>
    <s v="C0127"/>
    <x v="2"/>
    <n v="342.28"/>
    <n v="7"/>
    <n v="45.89"/>
    <n v="26"/>
    <n v="17.8"/>
    <n v="5"/>
    <s v="No"/>
    <n v="0"/>
    <n v="46.4"/>
    <n v="17.7"/>
    <s v="London"/>
    <s v="25-34"/>
    <n v="4"/>
    <n v="5"/>
    <n v="4"/>
    <s v="454"/>
    <x v="1"/>
  </r>
  <r>
    <s v="C0128"/>
    <x v="2"/>
    <n v="292.95"/>
    <n v="5"/>
    <n v="57.07"/>
    <n v="24"/>
    <n v="28.7"/>
    <n v="2"/>
    <s v="No"/>
    <n v="0"/>
    <n v="46.7"/>
    <n v="15.6"/>
    <s v="North"/>
    <s v="45-54"/>
    <n v="4"/>
    <n v="3"/>
    <n v="3"/>
    <s v="433"/>
    <x v="4"/>
  </r>
  <r>
    <s v="C0129"/>
    <x v="4"/>
    <n v="167.01"/>
    <n v="4"/>
    <n v="42.71"/>
    <n v="27"/>
    <n v="50.4"/>
    <n v="2"/>
    <s v="No"/>
    <n v="0"/>
    <n v="33.6"/>
    <n v="10.6"/>
    <s v="London"/>
    <s v="25-34"/>
    <n v="4"/>
    <n v="3"/>
    <n v="2"/>
    <s v="432"/>
    <x v="4"/>
  </r>
  <r>
    <s v="C0130"/>
    <x v="5"/>
    <n v="334.83"/>
    <n v="5"/>
    <n v="63.41"/>
    <n v="2"/>
    <n v="11.6"/>
    <n v="4"/>
    <s v="Yes"/>
    <n v="4"/>
    <n v="60.4"/>
    <n v="11.4"/>
    <s v="London"/>
    <s v="18-24"/>
    <n v="5"/>
    <n v="3"/>
    <n v="4"/>
    <s v="534"/>
    <x v="5"/>
  </r>
  <r>
    <s v="C0131"/>
    <x v="0"/>
    <n v="558.74"/>
    <n v="9"/>
    <n v="60.61"/>
    <n v="23"/>
    <n v="18.2"/>
    <n v="4"/>
    <s v="Yes"/>
    <n v="7"/>
    <n v="47.1"/>
    <n v="13.9"/>
    <s v="London"/>
    <s v="18-24"/>
    <n v="4"/>
    <n v="5"/>
    <n v="5"/>
    <s v="455"/>
    <x v="1"/>
  </r>
  <r>
    <s v="C0132"/>
    <x v="4"/>
    <n v="127.32"/>
    <n v="2"/>
    <n v="68.510000000000005"/>
    <n v="213"/>
    <n v="10.1"/>
    <n v="1"/>
    <s v="No"/>
    <n v="0"/>
    <n v="27.1"/>
    <n v="2.4"/>
    <s v="North"/>
    <s v="45-54"/>
    <n v="1"/>
    <n v="1"/>
    <n v="1"/>
    <s v="111"/>
    <x v="2"/>
  </r>
  <r>
    <s v="C0133"/>
    <x v="4"/>
    <n v="356.5"/>
    <n v="5"/>
    <n v="72.41"/>
    <n v="32"/>
    <n v="6"/>
    <n v="3"/>
    <s v="Yes"/>
    <n v="5"/>
    <n v="42.4"/>
    <n v="14.9"/>
    <s v="North"/>
    <s v="35-44"/>
    <n v="4"/>
    <n v="3"/>
    <n v="4"/>
    <s v="434"/>
    <x v="5"/>
  </r>
  <r>
    <s v="C0134"/>
    <x v="0"/>
    <n v="186.47"/>
    <n v="2"/>
    <n v="96.13"/>
    <n v="23"/>
    <n v="16.7"/>
    <n v="3"/>
    <s v="No"/>
    <n v="0"/>
    <n v="80.2"/>
    <n v="17.100000000000001"/>
    <s v="Midlands"/>
    <s v="18-24"/>
    <n v="4"/>
    <n v="1"/>
    <n v="2"/>
    <s v="412"/>
    <x v="6"/>
  </r>
  <r>
    <s v="C0135"/>
    <x v="1"/>
    <n v="714.68"/>
    <n v="9"/>
    <n v="79.180000000000007"/>
    <n v="24"/>
    <n v="14.6"/>
    <n v="4"/>
    <s v="Yes"/>
    <n v="14"/>
    <n v="67.8"/>
    <n v="12.3"/>
    <s v="South East"/>
    <s v="18-24"/>
    <n v="4"/>
    <n v="5"/>
    <n v="5"/>
    <s v="455"/>
    <x v="1"/>
  </r>
  <r>
    <s v="C0136"/>
    <x v="0"/>
    <n v="36.21"/>
    <n v="1"/>
    <n v="37.39"/>
    <n v="142"/>
    <n v="23.6"/>
    <n v="2"/>
    <s v="No"/>
    <n v="0"/>
    <n v="24"/>
    <n v="0"/>
    <s v="Scotland"/>
    <s v="35-44"/>
    <n v="1"/>
    <n v="1"/>
    <n v="1"/>
    <s v="111"/>
    <x v="2"/>
  </r>
  <r>
    <s v="C0137"/>
    <x v="5"/>
    <n v="157.46"/>
    <n v="4"/>
    <n v="41.17"/>
    <n v="36"/>
    <n v="28.3"/>
    <n v="4"/>
    <s v="Yes"/>
    <n v="7"/>
    <n v="38.5"/>
    <n v="9.1999999999999993"/>
    <s v="South East"/>
    <s v="18-24"/>
    <n v="3"/>
    <n v="3"/>
    <n v="2"/>
    <s v="332"/>
    <x v="4"/>
  </r>
  <r>
    <s v="C0138"/>
    <x v="3"/>
    <n v="103.19"/>
    <n v="2"/>
    <n v="50.5"/>
    <n v="197"/>
    <n v="18.8"/>
    <n v="2"/>
    <s v="No"/>
    <n v="0"/>
    <n v="24.6"/>
    <n v="3.9"/>
    <s v="North"/>
    <s v="45-54"/>
    <n v="1"/>
    <n v="1"/>
    <n v="1"/>
    <s v="111"/>
    <x v="2"/>
  </r>
  <r>
    <s v="C0139"/>
    <x v="0"/>
    <n v="632.67999999999995"/>
    <n v="11"/>
    <n v="61.85"/>
    <n v="8"/>
    <n v="7.1"/>
    <n v="3"/>
    <s v="Yes"/>
    <n v="13"/>
    <n v="60"/>
    <n v="19.100000000000001"/>
    <s v="Midlands"/>
    <s v="35-44"/>
    <n v="5"/>
    <n v="5"/>
    <n v="5"/>
    <s v="555"/>
    <x v="1"/>
  </r>
  <r>
    <s v="C0140"/>
    <x v="1"/>
    <n v="233.35"/>
    <n v="4"/>
    <n v="58.72"/>
    <n v="43"/>
    <n v="28.7"/>
    <n v="5"/>
    <s v="Yes"/>
    <n v="6"/>
    <n v="46.4"/>
    <n v="7.5"/>
    <s v="South East"/>
    <s v="18-24"/>
    <n v="3"/>
    <n v="3"/>
    <n v="3"/>
    <s v="333"/>
    <x v="4"/>
  </r>
  <r>
    <s v="C0141"/>
    <x v="1"/>
    <n v="52.18"/>
    <n v="1"/>
    <n v="54.27"/>
    <n v="34"/>
    <n v="30.9"/>
    <n v="2"/>
    <s v="No"/>
    <n v="0"/>
    <n v="43.9"/>
    <n v="10.199999999999999"/>
    <s v="Midlands"/>
    <s v="18-24"/>
    <n v="3"/>
    <n v="1"/>
    <n v="1"/>
    <s v="311"/>
    <x v="4"/>
  </r>
  <r>
    <s v="C0142"/>
    <x v="0"/>
    <n v="405.97"/>
    <n v="5"/>
    <n v="76.22"/>
    <n v="38"/>
    <n v="12.4"/>
    <n v="4"/>
    <s v="No"/>
    <n v="0"/>
    <n v="53.5"/>
    <n v="10.1"/>
    <s v="South East"/>
    <s v="55+"/>
    <n v="3"/>
    <n v="3"/>
    <n v="4"/>
    <s v="334"/>
    <x v="5"/>
  </r>
  <r>
    <s v="C0143"/>
    <x v="5"/>
    <n v="239.27"/>
    <n v="6"/>
    <n v="42.15"/>
    <n v="49"/>
    <n v="40.299999999999997"/>
    <n v="4"/>
    <s v="Yes"/>
    <n v="5"/>
    <n v="51.9"/>
    <n v="14.7"/>
    <s v="North"/>
    <s v="25-34"/>
    <n v="3"/>
    <n v="4"/>
    <n v="3"/>
    <s v="343"/>
    <x v="0"/>
  </r>
  <r>
    <s v="C0144"/>
    <x v="0"/>
    <n v="221.72"/>
    <n v="4"/>
    <n v="59.27"/>
    <n v="139"/>
    <n v="18.899999999999999"/>
    <n v="1"/>
    <s v="No"/>
    <n v="0"/>
    <n v="26.8"/>
    <n v="6.4"/>
    <s v="Midlands"/>
    <s v="25-34"/>
    <n v="1"/>
    <n v="3"/>
    <n v="3"/>
    <s v="133"/>
    <x v="4"/>
  </r>
  <r>
    <s v="C0145"/>
    <x v="0"/>
    <n v="337.62"/>
    <n v="6"/>
    <n v="54.07"/>
    <n v="72"/>
    <n v="25.3"/>
    <n v="4"/>
    <s v="Yes"/>
    <n v="5"/>
    <n v="32.299999999999997"/>
    <n v="6.3"/>
    <s v="South East"/>
    <s v="45-54"/>
    <n v="2"/>
    <n v="4"/>
    <n v="4"/>
    <s v="244"/>
    <x v="3"/>
  </r>
  <r>
    <s v="C0146"/>
    <x v="4"/>
    <n v="31.25"/>
    <n v="1"/>
    <n v="32.6"/>
    <n v="109"/>
    <n v="32.1"/>
    <n v="2"/>
    <s v="No"/>
    <n v="0"/>
    <n v="33"/>
    <n v="1.3"/>
    <s v="Scotland"/>
    <s v="55+"/>
    <n v="1"/>
    <n v="1"/>
    <n v="1"/>
    <s v="111"/>
    <x v="2"/>
  </r>
  <r>
    <s v="C0147"/>
    <x v="3"/>
    <n v="520.37"/>
    <n v="8"/>
    <n v="62.46"/>
    <n v="32"/>
    <n v="9.6"/>
    <n v="4"/>
    <s v="Yes"/>
    <n v="14"/>
    <n v="62.6"/>
    <n v="29.2"/>
    <s v="South East"/>
    <s v="55+"/>
    <n v="4"/>
    <n v="5"/>
    <n v="5"/>
    <s v="455"/>
    <x v="1"/>
  </r>
  <r>
    <s v="C0148"/>
    <x v="5"/>
    <n v="334.5"/>
    <n v="6"/>
    <n v="58.7"/>
    <n v="35"/>
    <n v="10.9"/>
    <n v="3"/>
    <s v="Yes"/>
    <n v="18"/>
    <n v="60.9"/>
    <n v="9.4"/>
    <s v="Midlands"/>
    <s v="45-54"/>
    <n v="3"/>
    <n v="4"/>
    <n v="4"/>
    <s v="344"/>
    <x v="0"/>
  </r>
  <r>
    <s v="C0149"/>
    <x v="4"/>
    <n v="333.33"/>
    <n v="6"/>
    <n v="54.21"/>
    <n v="38"/>
    <n v="0"/>
    <n v="5"/>
    <s v="Yes"/>
    <n v="9"/>
    <n v="58.4"/>
    <n v="16.7"/>
    <s v="Scotland"/>
    <s v="25-34"/>
    <n v="3"/>
    <n v="4"/>
    <n v="4"/>
    <s v="344"/>
    <x v="0"/>
  </r>
  <r>
    <s v="C0150"/>
    <x v="0"/>
    <n v="279.35000000000002"/>
    <n v="4"/>
    <n v="75.2"/>
    <n v="23"/>
    <n v="9"/>
    <n v="4"/>
    <s v="Yes"/>
    <n v="10"/>
    <n v="64.3"/>
    <n v="3.2"/>
    <s v="North"/>
    <s v="18-24"/>
    <n v="4"/>
    <n v="3"/>
    <n v="3"/>
    <s v="433"/>
    <x v="4"/>
  </r>
  <r>
    <s v="C0151"/>
    <x v="1"/>
    <n v="99.74"/>
    <n v="2"/>
    <n v="48.23"/>
    <n v="14"/>
    <n v="32.799999999999997"/>
    <n v="5"/>
    <s v="No"/>
    <n v="0"/>
    <n v="52.6"/>
    <n v="7.7"/>
    <s v="London"/>
    <s v="45-54"/>
    <n v="5"/>
    <n v="1"/>
    <n v="1"/>
    <s v="511"/>
    <x v="6"/>
  </r>
  <r>
    <s v="C0152"/>
    <x v="4"/>
    <n v="117.81"/>
    <n v="3"/>
    <n v="38.28"/>
    <n v="55"/>
    <n v="53.5"/>
    <n v="2"/>
    <s v="No"/>
    <n v="0"/>
    <n v="52.6"/>
    <n v="3.1"/>
    <s v="Wales"/>
    <s v="35-44"/>
    <n v="2"/>
    <n v="2"/>
    <n v="1"/>
    <s v="221"/>
    <x v="2"/>
  </r>
  <r>
    <s v="C0153"/>
    <x v="4"/>
    <n v="262.33"/>
    <n v="5"/>
    <n v="50.73"/>
    <n v="44"/>
    <n v="17.7"/>
    <n v="5"/>
    <s v="No"/>
    <n v="0"/>
    <n v="62"/>
    <n v="5.0999999999999996"/>
    <s v="North"/>
    <s v="25-34"/>
    <n v="3"/>
    <n v="3"/>
    <n v="3"/>
    <s v="333"/>
    <x v="4"/>
  </r>
  <r>
    <s v="C0154"/>
    <x v="5"/>
    <n v="337.46"/>
    <n v="6"/>
    <n v="54.54"/>
    <n v="70"/>
    <n v="28.5"/>
    <n v="6"/>
    <s v="Yes"/>
    <n v="11"/>
    <n v="58"/>
    <n v="17.100000000000001"/>
    <s v="South East"/>
    <s v="55+"/>
    <n v="2"/>
    <n v="4"/>
    <n v="4"/>
    <s v="244"/>
    <x v="3"/>
  </r>
  <r>
    <s v="C0155"/>
    <x v="1"/>
    <n v="258.52"/>
    <n v="4"/>
    <n v="63.99"/>
    <n v="50"/>
    <n v="30.2"/>
    <n v="4"/>
    <s v="Yes"/>
    <n v="4"/>
    <n v="35.799999999999997"/>
    <n v="18.3"/>
    <s v="London"/>
    <s v="18-24"/>
    <n v="2"/>
    <n v="3"/>
    <n v="3"/>
    <s v="233"/>
    <x v="4"/>
  </r>
  <r>
    <s v="C0156"/>
    <x v="0"/>
    <n v="271.38"/>
    <n v="7"/>
    <n v="41.96"/>
    <n v="18"/>
    <n v="56"/>
    <n v="2"/>
    <s v="No"/>
    <n v="0"/>
    <n v="30.9"/>
    <n v="15.8"/>
    <s v="North"/>
    <s v="25-34"/>
    <n v="5"/>
    <n v="5"/>
    <n v="3"/>
    <s v="553"/>
    <x v="0"/>
  </r>
  <r>
    <s v="C0157"/>
    <x v="3"/>
    <n v="115.93"/>
    <n v="2"/>
    <n v="54.79"/>
    <n v="45"/>
    <n v="34.9"/>
    <n v="5"/>
    <s v="Yes"/>
    <n v="8"/>
    <n v="66.2"/>
    <n v="13.2"/>
    <s v="North"/>
    <s v="18-24"/>
    <n v="3"/>
    <n v="1"/>
    <n v="1"/>
    <s v="311"/>
    <x v="4"/>
  </r>
  <r>
    <s v="C0158"/>
    <x v="2"/>
    <n v="237.51"/>
    <n v="6"/>
    <n v="37.79"/>
    <n v="61"/>
    <n v="22.2"/>
    <n v="2"/>
    <s v="No"/>
    <n v="0"/>
    <n v="29.4"/>
    <n v="11.5"/>
    <s v="Midlands"/>
    <s v="25-34"/>
    <n v="2"/>
    <n v="4"/>
    <n v="3"/>
    <s v="243"/>
    <x v="3"/>
  </r>
  <r>
    <s v="C0159"/>
    <x v="4"/>
    <n v="320.99"/>
    <n v="7"/>
    <n v="47.47"/>
    <n v="64"/>
    <n v="31.6"/>
    <n v="3"/>
    <s v="No"/>
    <n v="0"/>
    <n v="38.700000000000003"/>
    <n v="7.4"/>
    <s v="Scotland"/>
    <s v="18-24"/>
    <n v="2"/>
    <n v="5"/>
    <n v="4"/>
    <s v="254"/>
    <x v="3"/>
  </r>
  <r>
    <s v="C0160"/>
    <x v="2"/>
    <n v="38.35"/>
    <n v="1"/>
    <n v="38.770000000000003"/>
    <n v="190"/>
    <n v="6.8"/>
    <n v="1"/>
    <s v="Yes"/>
    <n v="6"/>
    <n v="16.399999999999999"/>
    <n v="7.8"/>
    <s v="North"/>
    <s v="18-24"/>
    <n v="1"/>
    <n v="1"/>
    <n v="1"/>
    <s v="111"/>
    <x v="2"/>
  </r>
  <r>
    <s v="C0161"/>
    <x v="0"/>
    <n v="136.44"/>
    <n v="2"/>
    <n v="69.12"/>
    <n v="25"/>
    <n v="24.4"/>
    <n v="5"/>
    <s v="No"/>
    <n v="0"/>
    <n v="53"/>
    <n v="7.1"/>
    <s v="London"/>
    <s v="18-24"/>
    <n v="4"/>
    <n v="1"/>
    <n v="2"/>
    <s v="412"/>
    <x v="6"/>
  </r>
  <r>
    <s v="C0162"/>
    <x v="3"/>
    <n v="350.2"/>
    <n v="6"/>
    <n v="54.28"/>
    <n v="17"/>
    <n v="28.6"/>
    <n v="4"/>
    <s v="No"/>
    <n v="0"/>
    <n v="34.700000000000003"/>
    <n v="13.4"/>
    <s v="South East"/>
    <s v="35-44"/>
    <n v="5"/>
    <n v="4"/>
    <n v="4"/>
    <s v="544"/>
    <x v="1"/>
  </r>
  <r>
    <s v="C0163"/>
    <x v="3"/>
    <n v="198.19"/>
    <n v="4"/>
    <n v="49.68"/>
    <n v="53"/>
    <n v="34.9"/>
    <n v="3"/>
    <s v="Yes"/>
    <n v="5"/>
    <n v="39.700000000000003"/>
    <n v="9.6999999999999993"/>
    <s v="South East"/>
    <s v="45-54"/>
    <n v="2"/>
    <n v="3"/>
    <n v="2"/>
    <s v="232"/>
    <x v="4"/>
  </r>
  <r>
    <s v="C0164"/>
    <x v="5"/>
    <n v="127.01"/>
    <n v="4"/>
    <n v="33.97"/>
    <n v="41"/>
    <n v="50.5"/>
    <n v="2"/>
    <s v="Yes"/>
    <n v="6"/>
    <n v="37.200000000000003"/>
    <n v="10.7"/>
    <s v="North"/>
    <s v="35-44"/>
    <n v="3"/>
    <n v="3"/>
    <n v="1"/>
    <s v="331"/>
    <x v="4"/>
  </r>
  <r>
    <s v="C0165"/>
    <x v="4"/>
    <n v="457.13"/>
    <n v="9"/>
    <n v="52.72"/>
    <n v="56"/>
    <n v="32.4"/>
    <n v="3"/>
    <s v="No"/>
    <n v="0"/>
    <n v="26.5"/>
    <n v="3.7"/>
    <s v="London"/>
    <s v="55+"/>
    <n v="2"/>
    <n v="5"/>
    <n v="4"/>
    <s v="254"/>
    <x v="3"/>
  </r>
  <r>
    <s v="C0166"/>
    <x v="2"/>
    <n v="207.45"/>
    <n v="3"/>
    <n v="67.209999999999994"/>
    <n v="164"/>
    <n v="24.7"/>
    <n v="2"/>
    <s v="No"/>
    <n v="0"/>
    <n v="35.299999999999997"/>
    <n v="7.2"/>
    <s v="Midlands"/>
    <s v="25-34"/>
    <n v="1"/>
    <n v="2"/>
    <n v="2"/>
    <s v="122"/>
    <x v="2"/>
  </r>
  <r>
    <s v="C0167"/>
    <x v="0"/>
    <n v="514.78"/>
    <n v="7"/>
    <n v="71.569999999999993"/>
    <n v="30"/>
    <n v="2.8"/>
    <n v="4"/>
    <s v="Yes"/>
    <n v="11"/>
    <n v="51.4"/>
    <n v="18.100000000000001"/>
    <s v="North"/>
    <s v="25-34"/>
    <n v="4"/>
    <n v="5"/>
    <n v="5"/>
    <s v="455"/>
    <x v="1"/>
  </r>
  <r>
    <s v="C0168"/>
    <x v="4"/>
    <n v="453.16"/>
    <n v="7"/>
    <n v="70.260000000000005"/>
    <n v="19"/>
    <n v="13.4"/>
    <n v="3"/>
    <s v="Yes"/>
    <n v="15"/>
    <n v="76.099999999999994"/>
    <n v="13.5"/>
    <s v="Scotland"/>
    <s v="45-54"/>
    <n v="5"/>
    <n v="5"/>
    <n v="4"/>
    <s v="554"/>
    <x v="1"/>
  </r>
  <r>
    <s v="C0169"/>
    <x v="4"/>
    <n v="440.32"/>
    <n v="9"/>
    <n v="53.05"/>
    <n v="53"/>
    <n v="32.5"/>
    <n v="2"/>
    <s v="Yes"/>
    <n v="6"/>
    <n v="41.6"/>
    <n v="12.3"/>
    <s v="South East"/>
    <s v="25-34"/>
    <n v="2"/>
    <n v="5"/>
    <n v="4"/>
    <s v="254"/>
    <x v="3"/>
  </r>
  <r>
    <s v="C0170"/>
    <x v="3"/>
    <n v="136.12"/>
    <n v="4"/>
    <n v="36.479999999999997"/>
    <n v="23"/>
    <n v="37"/>
    <n v="2"/>
    <s v="No"/>
    <n v="0"/>
    <n v="30.8"/>
    <n v="16.5"/>
    <s v="Scotland"/>
    <s v="55+"/>
    <n v="4"/>
    <n v="3"/>
    <n v="2"/>
    <s v="432"/>
    <x v="4"/>
  </r>
  <r>
    <s v="C0171"/>
    <x v="3"/>
    <n v="299.75"/>
    <n v="7"/>
    <n v="46"/>
    <n v="41"/>
    <n v="53.7"/>
    <n v="3"/>
    <s v="Yes"/>
    <n v="10"/>
    <n v="44.8"/>
    <n v="10.6"/>
    <s v="London"/>
    <s v="18-24"/>
    <n v="3"/>
    <n v="5"/>
    <n v="3"/>
    <s v="353"/>
    <x v="0"/>
  </r>
  <r>
    <s v="C0172"/>
    <x v="4"/>
    <n v="860.83"/>
    <n v="11"/>
    <n v="78.83"/>
    <n v="36"/>
    <n v="10.7"/>
    <n v="6"/>
    <s v="Yes"/>
    <n v="15"/>
    <n v="52.8"/>
    <n v="21.5"/>
    <s v="Scotland"/>
    <s v="55+"/>
    <n v="3"/>
    <n v="5"/>
    <n v="5"/>
    <s v="355"/>
    <x v="0"/>
  </r>
  <r>
    <s v="C0173"/>
    <x v="5"/>
    <n v="487.17"/>
    <n v="9"/>
    <n v="58.61"/>
    <n v="16"/>
    <n v="16.2"/>
    <n v="5"/>
    <s v="Yes"/>
    <n v="14"/>
    <n v="58.2"/>
    <n v="13.6"/>
    <s v="London"/>
    <s v="18-24"/>
    <n v="5"/>
    <n v="5"/>
    <n v="5"/>
    <s v="555"/>
    <x v="1"/>
  </r>
  <r>
    <s v="C0174"/>
    <x v="4"/>
    <n v="284.83999999999997"/>
    <n v="4"/>
    <n v="72.25"/>
    <n v="23"/>
    <n v="0.5"/>
    <n v="3"/>
    <s v="No"/>
    <n v="0"/>
    <n v="59"/>
    <n v="14.1"/>
    <s v="South East"/>
    <s v="45-54"/>
    <n v="4"/>
    <n v="3"/>
    <n v="3"/>
    <s v="433"/>
    <x v="4"/>
  </r>
  <r>
    <s v="C0175"/>
    <x v="3"/>
    <n v="126.23"/>
    <n v="2"/>
    <n v="65.319999999999993"/>
    <n v="29"/>
    <n v="23.2"/>
    <n v="5"/>
    <s v="No"/>
    <n v="0"/>
    <n v="51.4"/>
    <n v="9.5"/>
    <s v="North"/>
    <s v="35-44"/>
    <n v="4"/>
    <n v="1"/>
    <n v="1"/>
    <s v="411"/>
    <x v="6"/>
  </r>
  <r>
    <s v="C0176"/>
    <x v="4"/>
    <n v="209.17"/>
    <n v="6"/>
    <n v="33.32"/>
    <n v="98"/>
    <n v="38.1"/>
    <n v="4"/>
    <s v="No"/>
    <n v="0"/>
    <n v="48.5"/>
    <n v="8.1"/>
    <s v="London"/>
    <s v="55+"/>
    <n v="2"/>
    <n v="4"/>
    <n v="3"/>
    <s v="243"/>
    <x v="3"/>
  </r>
  <r>
    <s v="C0177"/>
    <x v="3"/>
    <n v="279.86"/>
    <n v="7"/>
    <n v="39.96"/>
    <n v="46"/>
    <n v="46.5"/>
    <n v="3"/>
    <s v="No"/>
    <n v="0"/>
    <n v="15.8"/>
    <n v="14.3"/>
    <s v="South East"/>
    <s v="18-24"/>
    <n v="3"/>
    <n v="5"/>
    <n v="3"/>
    <s v="353"/>
    <x v="0"/>
  </r>
  <r>
    <s v="C0178"/>
    <x v="0"/>
    <n v="60.46"/>
    <n v="1"/>
    <n v="59.41"/>
    <n v="181"/>
    <n v="18.899999999999999"/>
    <n v="2"/>
    <s v="No"/>
    <n v="0"/>
    <n v="18.899999999999999"/>
    <n v="9.8000000000000007"/>
    <s v="North"/>
    <s v="35-44"/>
    <n v="1"/>
    <n v="1"/>
    <n v="1"/>
    <s v="111"/>
    <x v="2"/>
  </r>
  <r>
    <s v="C0179"/>
    <x v="1"/>
    <n v="474.7"/>
    <n v="8"/>
    <n v="62.74"/>
    <n v="12"/>
    <n v="15.3"/>
    <n v="3"/>
    <s v="Yes"/>
    <n v="10"/>
    <n v="57.3"/>
    <n v="24.7"/>
    <s v="North"/>
    <s v="55+"/>
    <n v="5"/>
    <n v="5"/>
    <n v="5"/>
    <s v="555"/>
    <x v="1"/>
  </r>
  <r>
    <s v="C0180"/>
    <x v="4"/>
    <n v="134.07"/>
    <n v="3"/>
    <n v="46.67"/>
    <n v="29"/>
    <n v="23.8"/>
    <n v="6"/>
    <s v="Yes"/>
    <n v="9"/>
    <n v="46.5"/>
    <n v="10"/>
    <s v="North"/>
    <s v="35-44"/>
    <n v="4"/>
    <n v="2"/>
    <n v="2"/>
    <s v="422"/>
    <x v="6"/>
  </r>
  <r>
    <s v="C0181"/>
    <x v="0"/>
    <n v="530"/>
    <n v="7"/>
    <n v="76.8"/>
    <n v="2"/>
    <n v="10.1"/>
    <n v="6"/>
    <s v="No"/>
    <n v="0"/>
    <n v="51.9"/>
    <n v="13"/>
    <s v="North"/>
    <s v="35-44"/>
    <n v="5"/>
    <n v="5"/>
    <n v="5"/>
    <s v="555"/>
    <x v="1"/>
  </r>
  <r>
    <s v="C0182"/>
    <x v="4"/>
    <n v="358.7"/>
    <n v="5"/>
    <n v="75.28"/>
    <n v="11"/>
    <n v="17.5"/>
    <n v="4"/>
    <s v="Yes"/>
    <n v="10"/>
    <n v="46.5"/>
    <n v="18.2"/>
    <s v="Midlands"/>
    <s v="35-44"/>
    <n v="5"/>
    <n v="3"/>
    <n v="4"/>
    <s v="534"/>
    <x v="5"/>
  </r>
  <r>
    <s v="C0183"/>
    <x v="1"/>
    <n v="197.37"/>
    <n v="4"/>
    <n v="48.87"/>
    <n v="40"/>
    <n v="45.2"/>
    <n v="1"/>
    <s v="No"/>
    <n v="0"/>
    <n v="37.5"/>
    <n v="6.9"/>
    <s v="South East"/>
    <s v="25-34"/>
    <n v="3"/>
    <n v="3"/>
    <n v="2"/>
    <s v="332"/>
    <x v="4"/>
  </r>
  <r>
    <s v="C0184"/>
    <x v="2"/>
    <n v="490.67"/>
    <n v="7"/>
    <n v="66.97"/>
    <n v="66"/>
    <n v="28.8"/>
    <n v="5"/>
    <s v="No"/>
    <n v="0"/>
    <n v="51.9"/>
    <n v="2.6"/>
    <s v="South East"/>
    <s v="35-44"/>
    <n v="2"/>
    <n v="5"/>
    <n v="5"/>
    <s v="255"/>
    <x v="3"/>
  </r>
  <r>
    <s v="C0185"/>
    <x v="0"/>
    <n v="171.71"/>
    <n v="4"/>
    <n v="46.13"/>
    <n v="20"/>
    <n v="24"/>
    <n v="4"/>
    <s v="Yes"/>
    <n v="7"/>
    <n v="57.4"/>
    <n v="15.5"/>
    <s v="London"/>
    <s v="35-44"/>
    <n v="5"/>
    <n v="3"/>
    <n v="2"/>
    <s v="532"/>
    <x v="4"/>
  </r>
  <r>
    <s v="C0186"/>
    <x v="3"/>
    <n v="217.55"/>
    <n v="6"/>
    <n v="37.15"/>
    <n v="64"/>
    <n v="50.5"/>
    <n v="2"/>
    <s v="No"/>
    <n v="0"/>
    <n v="27.2"/>
    <n v="7.2"/>
    <s v="Scotland"/>
    <s v="55+"/>
    <n v="2"/>
    <n v="4"/>
    <n v="3"/>
    <s v="243"/>
    <x v="3"/>
  </r>
  <r>
    <s v="C0187"/>
    <x v="2"/>
    <n v="97.22"/>
    <n v="2"/>
    <n v="52.79"/>
    <n v="40"/>
    <n v="16"/>
    <n v="2"/>
    <s v="No"/>
    <n v="0"/>
    <n v="32.200000000000003"/>
    <n v="4.4000000000000004"/>
    <s v="North"/>
    <s v="18-24"/>
    <n v="3"/>
    <n v="1"/>
    <n v="1"/>
    <s v="311"/>
    <x v="4"/>
  </r>
  <r>
    <s v="C0188"/>
    <x v="5"/>
    <n v="973.55"/>
    <n v="12"/>
    <n v="77.989999999999995"/>
    <n v="15"/>
    <n v="16"/>
    <n v="4"/>
    <s v="No"/>
    <n v="0"/>
    <n v="72.8"/>
    <n v="18.100000000000001"/>
    <s v="Midlands"/>
    <s v="25-34"/>
    <n v="5"/>
    <n v="5"/>
    <n v="5"/>
    <s v="555"/>
    <x v="1"/>
  </r>
  <r>
    <s v="C0189"/>
    <x v="5"/>
    <n v="367.61"/>
    <n v="5"/>
    <n v="70.69"/>
    <n v="19"/>
    <n v="30.1"/>
    <n v="6"/>
    <s v="Yes"/>
    <n v="10"/>
    <n v="49.5"/>
    <n v="12.4"/>
    <s v="Midlands"/>
    <s v="55+"/>
    <n v="5"/>
    <n v="3"/>
    <n v="4"/>
    <s v="534"/>
    <x v="5"/>
  </r>
  <r>
    <s v="C0190"/>
    <x v="0"/>
    <n v="621.71"/>
    <n v="8"/>
    <n v="75.11"/>
    <n v="36"/>
    <n v="22.2"/>
    <n v="4"/>
    <s v="Yes"/>
    <n v="15"/>
    <n v="54.9"/>
    <n v="9.9"/>
    <s v="Wales"/>
    <s v="45-54"/>
    <n v="3"/>
    <n v="5"/>
    <n v="5"/>
    <s v="355"/>
    <x v="0"/>
  </r>
  <r>
    <s v="C0191"/>
    <x v="4"/>
    <n v="145.81"/>
    <n v="3"/>
    <n v="52.13"/>
    <n v="20"/>
    <n v="15.1"/>
    <n v="4"/>
    <s v="No"/>
    <n v="0"/>
    <n v="33.9"/>
    <n v="6.1"/>
    <s v="London"/>
    <s v="25-34"/>
    <n v="5"/>
    <n v="2"/>
    <n v="2"/>
    <s v="522"/>
    <x v="6"/>
  </r>
  <r>
    <s v="C0192"/>
    <x v="2"/>
    <n v="127.33"/>
    <n v="3"/>
    <n v="44.11"/>
    <n v="162"/>
    <n v="37.200000000000003"/>
    <n v="3"/>
    <s v="No"/>
    <n v="0"/>
    <n v="29.4"/>
    <n v="1.7"/>
    <s v="North"/>
    <s v="35-44"/>
    <n v="1"/>
    <n v="2"/>
    <n v="1"/>
    <s v="121"/>
    <x v="2"/>
  </r>
  <r>
    <s v="C0193"/>
    <x v="1"/>
    <n v="189.71"/>
    <n v="3"/>
    <n v="61.64"/>
    <n v="99"/>
    <n v="10.199999999999999"/>
    <n v="2"/>
    <s v="No"/>
    <n v="0"/>
    <n v="14.4"/>
    <n v="0.4"/>
    <s v="Midlands"/>
    <s v="25-34"/>
    <n v="2"/>
    <n v="2"/>
    <n v="2"/>
    <s v="222"/>
    <x v="2"/>
  </r>
  <r>
    <s v="C0194"/>
    <x v="3"/>
    <n v="312.43"/>
    <n v="7"/>
    <n v="46.42"/>
    <n v="26"/>
    <n v="55.5"/>
    <n v="3"/>
    <s v="Yes"/>
    <n v="3"/>
    <n v="52.3"/>
    <n v="8.1999999999999993"/>
    <s v="North"/>
    <s v="25-34"/>
    <n v="4"/>
    <n v="5"/>
    <n v="4"/>
    <s v="454"/>
    <x v="1"/>
  </r>
  <r>
    <s v="C0195"/>
    <x v="0"/>
    <n v="534.96"/>
    <n v="7"/>
    <n v="75.5"/>
    <n v="25"/>
    <n v="2.6"/>
    <n v="3"/>
    <s v="Yes"/>
    <n v="14"/>
    <n v="52.5"/>
    <n v="13.7"/>
    <s v="London"/>
    <s v="25-34"/>
    <n v="4"/>
    <n v="5"/>
    <n v="5"/>
    <s v="455"/>
    <x v="1"/>
  </r>
  <r>
    <s v="C0196"/>
    <x v="0"/>
    <n v="733.8"/>
    <n v="9"/>
    <n v="79.569999999999993"/>
    <n v="11"/>
    <n v="15.7"/>
    <n v="3"/>
    <s v="Yes"/>
    <n v="16"/>
    <n v="48.8"/>
    <n v="6.9"/>
    <s v="Scotland"/>
    <s v="25-34"/>
    <n v="5"/>
    <n v="5"/>
    <n v="5"/>
    <s v="555"/>
    <x v="1"/>
  </r>
  <r>
    <s v="C0197"/>
    <x v="2"/>
    <n v="759.26"/>
    <n v="9"/>
    <n v="78.22"/>
    <n v="28"/>
    <n v="20"/>
    <n v="5"/>
    <s v="Yes"/>
    <n v="15"/>
    <n v="60"/>
    <n v="24.2"/>
    <s v="Wales"/>
    <s v="35-44"/>
    <n v="4"/>
    <n v="5"/>
    <n v="5"/>
    <s v="455"/>
    <x v="1"/>
  </r>
  <r>
    <s v="C0198"/>
    <x v="2"/>
    <n v="756.68"/>
    <n v="11"/>
    <n v="68.489999999999995"/>
    <n v="14"/>
    <n v="21.4"/>
    <n v="5"/>
    <s v="Yes"/>
    <n v="14"/>
    <n v="57.9"/>
    <n v="15"/>
    <s v="Midlands"/>
    <s v="18-24"/>
    <n v="5"/>
    <n v="5"/>
    <n v="5"/>
    <s v="555"/>
    <x v="1"/>
  </r>
  <r>
    <s v="C0199"/>
    <x v="2"/>
    <n v="374.03"/>
    <n v="6"/>
    <n v="63.63"/>
    <n v="24"/>
    <n v="34.9"/>
    <n v="5"/>
    <s v="No"/>
    <n v="0"/>
    <n v="59.9"/>
    <n v="18.899999999999999"/>
    <s v="North"/>
    <s v="55+"/>
    <n v="4"/>
    <n v="4"/>
    <n v="4"/>
    <s v="444"/>
    <x v="1"/>
  </r>
  <r>
    <s v="C0200"/>
    <x v="2"/>
    <n v="390.68"/>
    <n v="9"/>
    <n v="42.03"/>
    <n v="66"/>
    <n v="60.1"/>
    <n v="2"/>
    <s v="No"/>
    <n v="0"/>
    <n v="33.1"/>
    <n v="5.2"/>
    <s v="Wales"/>
    <s v="55+"/>
    <n v="2"/>
    <n v="5"/>
    <n v="4"/>
    <s v="254"/>
    <x v="3"/>
  </r>
  <r>
    <s v="C0201"/>
    <x v="3"/>
    <n v="770.57"/>
    <n v="8"/>
    <n v="91.87"/>
    <n v="19"/>
    <n v="8.8000000000000007"/>
    <n v="4"/>
    <s v="Yes"/>
    <n v="14"/>
    <n v="72"/>
    <n v="20.2"/>
    <s v="North"/>
    <s v="35-44"/>
    <n v="5"/>
    <n v="5"/>
    <n v="5"/>
    <s v="555"/>
    <x v="1"/>
  </r>
  <r>
    <s v="C0202"/>
    <x v="4"/>
    <n v="296.3"/>
    <n v="5"/>
    <n v="58.39"/>
    <n v="2"/>
    <n v="31.6"/>
    <n v="4"/>
    <s v="Yes"/>
    <n v="3"/>
    <n v="53.4"/>
    <n v="13.8"/>
    <s v="London"/>
    <s v="35-44"/>
    <n v="5"/>
    <n v="3"/>
    <n v="3"/>
    <s v="533"/>
    <x v="4"/>
  </r>
  <r>
    <s v="C0203"/>
    <x v="4"/>
    <n v="307.93"/>
    <n v="6"/>
    <n v="53.81"/>
    <n v="33"/>
    <n v="24.5"/>
    <n v="4"/>
    <s v="Yes"/>
    <n v="10"/>
    <n v="50.6"/>
    <n v="14.7"/>
    <s v="Midlands"/>
    <s v="25-34"/>
    <n v="3"/>
    <n v="4"/>
    <n v="4"/>
    <s v="344"/>
    <x v="0"/>
  </r>
  <r>
    <s v="C0204"/>
    <x v="2"/>
    <n v="379.86"/>
    <n v="6"/>
    <n v="63.67"/>
    <n v="51"/>
    <n v="18"/>
    <n v="4"/>
    <s v="No"/>
    <n v="0"/>
    <n v="50.9"/>
    <n v="13.4"/>
    <s v="North"/>
    <s v="45-54"/>
    <n v="2"/>
    <n v="4"/>
    <n v="4"/>
    <s v="244"/>
    <x v="3"/>
  </r>
  <r>
    <s v="C0205"/>
    <x v="3"/>
    <n v="176.75"/>
    <n v="3"/>
    <n v="56.23"/>
    <n v="21"/>
    <n v="23.9"/>
    <n v="4"/>
    <s v="Yes"/>
    <n v="3"/>
    <n v="31"/>
    <n v="10.7"/>
    <s v="Midlands"/>
    <s v="35-44"/>
    <n v="5"/>
    <n v="2"/>
    <n v="2"/>
    <s v="522"/>
    <x v="6"/>
  </r>
  <r>
    <s v="C0206"/>
    <x v="4"/>
    <n v="300.14999999999998"/>
    <n v="5"/>
    <n v="61.58"/>
    <n v="19"/>
    <n v="9.1"/>
    <n v="3"/>
    <s v="Yes"/>
    <n v="6"/>
    <n v="51.4"/>
    <n v="17.7"/>
    <s v="North"/>
    <s v="25-34"/>
    <n v="5"/>
    <n v="3"/>
    <n v="3"/>
    <s v="533"/>
    <x v="4"/>
  </r>
  <r>
    <s v="C0207"/>
    <x v="4"/>
    <n v="179.56"/>
    <n v="5"/>
    <n v="35.21"/>
    <n v="4"/>
    <n v="54.9"/>
    <n v="2"/>
    <s v="No"/>
    <n v="0"/>
    <n v="41"/>
    <n v="5.3"/>
    <s v="Wales"/>
    <s v="55+"/>
    <n v="5"/>
    <n v="3"/>
    <n v="2"/>
    <s v="532"/>
    <x v="4"/>
  </r>
  <r>
    <s v="C0208"/>
    <x v="3"/>
    <n v="167.38"/>
    <n v="3"/>
    <n v="53.85"/>
    <n v="136"/>
    <n v="4.2"/>
    <n v="1"/>
    <s v="No"/>
    <n v="0"/>
    <n v="12.5"/>
    <n v="0"/>
    <s v="Wales"/>
    <s v="45-54"/>
    <n v="1"/>
    <n v="2"/>
    <n v="2"/>
    <s v="122"/>
    <x v="2"/>
  </r>
  <r>
    <s v="C0209"/>
    <x v="4"/>
    <n v="258.64"/>
    <n v="4"/>
    <n v="64.77"/>
    <n v="156"/>
    <n v="26.8"/>
    <n v="2"/>
    <s v="No"/>
    <n v="0"/>
    <n v="6.6"/>
    <n v="1.4"/>
    <s v="Midlands"/>
    <s v="55+"/>
    <n v="1"/>
    <n v="3"/>
    <n v="3"/>
    <s v="133"/>
    <x v="4"/>
  </r>
  <r>
    <s v="C0210"/>
    <x v="4"/>
    <n v="521.34"/>
    <n v="7"/>
    <n v="71.48"/>
    <n v="38"/>
    <n v="22.2"/>
    <n v="3"/>
    <s v="Yes"/>
    <n v="10"/>
    <n v="68.7"/>
    <n v="13.4"/>
    <s v="London"/>
    <s v="35-44"/>
    <n v="3"/>
    <n v="5"/>
    <n v="5"/>
    <s v="355"/>
    <x v="0"/>
  </r>
  <r>
    <s v="C0211"/>
    <x v="5"/>
    <n v="112.56"/>
    <n v="2"/>
    <n v="55.81"/>
    <n v="69"/>
    <n v="23"/>
    <n v="6"/>
    <s v="No"/>
    <n v="0"/>
    <n v="35.700000000000003"/>
    <n v="16.3"/>
    <s v="Wales"/>
    <s v="35-44"/>
    <n v="2"/>
    <n v="1"/>
    <n v="1"/>
    <s v="211"/>
    <x v="2"/>
  </r>
  <r>
    <s v="C0212"/>
    <x v="3"/>
    <n v="582.54"/>
    <n v="10"/>
    <n v="60.32"/>
    <n v="10"/>
    <n v="13.3"/>
    <n v="3"/>
    <s v="Yes"/>
    <n v="8"/>
    <n v="61.3"/>
    <n v="13.8"/>
    <s v="Scotland"/>
    <s v="25-34"/>
    <n v="5"/>
    <n v="5"/>
    <n v="5"/>
    <s v="555"/>
    <x v="1"/>
  </r>
  <r>
    <s v="C0213"/>
    <x v="3"/>
    <n v="351.74"/>
    <n v="5"/>
    <n v="74.209999999999994"/>
    <n v="17"/>
    <n v="19.3"/>
    <n v="3"/>
    <s v="Yes"/>
    <n v="11"/>
    <n v="60.8"/>
    <n v="18.3"/>
    <s v="London"/>
    <s v="55+"/>
    <n v="5"/>
    <n v="3"/>
    <n v="4"/>
    <s v="534"/>
    <x v="5"/>
  </r>
  <r>
    <s v="C0214"/>
    <x v="4"/>
    <n v="145.25"/>
    <n v="3"/>
    <n v="47.45"/>
    <n v="33"/>
    <n v="52.9"/>
    <n v="2"/>
    <s v="Yes"/>
    <n v="3"/>
    <n v="41"/>
    <n v="11.5"/>
    <s v="Wales"/>
    <s v="45-54"/>
    <n v="3"/>
    <n v="2"/>
    <n v="2"/>
    <s v="322"/>
    <x v="4"/>
  </r>
  <r>
    <s v="C0215"/>
    <x v="3"/>
    <n v="128.91"/>
    <n v="2"/>
    <n v="60.5"/>
    <n v="113"/>
    <n v="1.1000000000000001"/>
    <n v="1"/>
    <s v="No"/>
    <n v="0"/>
    <n v="14.7"/>
    <n v="3"/>
    <s v="Scotland"/>
    <s v="18-24"/>
    <n v="1"/>
    <n v="1"/>
    <n v="2"/>
    <s v="112"/>
    <x v="2"/>
  </r>
  <r>
    <s v="C0216"/>
    <x v="4"/>
    <n v="60.78"/>
    <n v="2"/>
    <n v="28.14"/>
    <n v="112"/>
    <n v="0.8"/>
    <n v="2"/>
    <s v="No"/>
    <n v="0"/>
    <n v="37.5"/>
    <n v="0.8"/>
    <s v="Midlands"/>
    <s v="18-24"/>
    <n v="1"/>
    <n v="1"/>
    <n v="1"/>
    <s v="111"/>
    <x v="2"/>
  </r>
  <r>
    <s v="C0217"/>
    <x v="0"/>
    <n v="515.41"/>
    <n v="6"/>
    <n v="85.88"/>
    <n v="28"/>
    <n v="9.6999999999999993"/>
    <n v="4"/>
    <s v="Yes"/>
    <n v="3"/>
    <n v="56.3"/>
    <n v="20.399999999999999"/>
    <s v="North"/>
    <s v="25-34"/>
    <n v="4"/>
    <n v="4"/>
    <n v="5"/>
    <s v="445"/>
    <x v="1"/>
  </r>
  <r>
    <s v="C0218"/>
    <x v="2"/>
    <n v="141.88999999999999"/>
    <n v="2"/>
    <n v="73.52"/>
    <n v="40"/>
    <n v="23.1"/>
    <n v="4"/>
    <s v="Yes"/>
    <n v="6"/>
    <n v="50.5"/>
    <n v="8.5"/>
    <s v="South East"/>
    <s v="45-54"/>
    <n v="3"/>
    <n v="1"/>
    <n v="2"/>
    <s v="312"/>
    <x v="4"/>
  </r>
  <r>
    <s v="C0219"/>
    <x v="3"/>
    <n v="166.53"/>
    <n v="5"/>
    <n v="32.96"/>
    <n v="65"/>
    <n v="42.6"/>
    <n v="2"/>
    <s v="No"/>
    <n v="0"/>
    <n v="41.6"/>
    <n v="13"/>
    <s v="London"/>
    <s v="55+"/>
    <n v="2"/>
    <n v="3"/>
    <n v="2"/>
    <s v="232"/>
    <x v="4"/>
  </r>
  <r>
    <s v="C0220"/>
    <x v="2"/>
    <n v="324.82"/>
    <n v="5"/>
    <n v="70.239999999999995"/>
    <n v="25"/>
    <n v="16"/>
    <n v="5"/>
    <s v="No"/>
    <n v="0"/>
    <n v="47.6"/>
    <n v="10"/>
    <s v="South East"/>
    <s v="18-24"/>
    <n v="4"/>
    <n v="3"/>
    <n v="4"/>
    <s v="434"/>
    <x v="5"/>
  </r>
  <r>
    <s v="C0221"/>
    <x v="3"/>
    <n v="290.62"/>
    <n v="5"/>
    <n v="60.27"/>
    <n v="38"/>
    <n v="24.8"/>
    <n v="6"/>
    <s v="Yes"/>
    <n v="10"/>
    <n v="51.3"/>
    <n v="15.7"/>
    <s v="North"/>
    <s v="35-44"/>
    <n v="3"/>
    <n v="3"/>
    <n v="3"/>
    <s v="333"/>
    <x v="4"/>
  </r>
  <r>
    <s v="C0222"/>
    <x v="5"/>
    <n v="456.84"/>
    <n v="6"/>
    <n v="71.25"/>
    <n v="30"/>
    <n v="20"/>
    <n v="3"/>
    <s v="Yes"/>
    <n v="6"/>
    <n v="43.3"/>
    <n v="7.2"/>
    <s v="London"/>
    <s v="25-34"/>
    <n v="4"/>
    <n v="4"/>
    <n v="4"/>
    <s v="444"/>
    <x v="1"/>
  </r>
  <r>
    <s v="C0223"/>
    <x v="4"/>
    <n v="241.32"/>
    <n v="5"/>
    <n v="47.67"/>
    <n v="2"/>
    <n v="26.9"/>
    <n v="4"/>
    <s v="No"/>
    <n v="0"/>
    <n v="31.7"/>
    <n v="17.100000000000001"/>
    <s v="South East"/>
    <s v="55+"/>
    <n v="5"/>
    <n v="3"/>
    <n v="3"/>
    <s v="533"/>
    <x v="4"/>
  </r>
  <r>
    <s v="C0224"/>
    <x v="0"/>
    <n v="305.83"/>
    <n v="6"/>
    <n v="49.46"/>
    <n v="51"/>
    <n v="43.5"/>
    <n v="4"/>
    <s v="No"/>
    <n v="0"/>
    <n v="45.3"/>
    <n v="16"/>
    <s v="South East"/>
    <s v="45-54"/>
    <n v="2"/>
    <n v="4"/>
    <n v="4"/>
    <s v="244"/>
    <x v="3"/>
  </r>
  <r>
    <s v="C0225"/>
    <x v="0"/>
    <n v="92.16"/>
    <n v="2"/>
    <n v="47.7"/>
    <n v="92"/>
    <n v="16.7"/>
    <n v="3"/>
    <s v="Yes"/>
    <n v="2"/>
    <n v="23.8"/>
    <n v="10.1"/>
    <s v="Midlands"/>
    <s v="45-54"/>
    <n v="2"/>
    <n v="1"/>
    <n v="1"/>
    <s v="211"/>
    <x v="2"/>
  </r>
  <r>
    <s v="C0226"/>
    <x v="0"/>
    <n v="57.92"/>
    <n v="1"/>
    <n v="54.18"/>
    <n v="229"/>
    <n v="8.3000000000000007"/>
    <n v="2"/>
    <s v="No"/>
    <n v="0"/>
    <n v="22.8"/>
    <n v="7.6"/>
    <s v="Scotland"/>
    <s v="25-34"/>
    <n v="1"/>
    <n v="1"/>
    <n v="1"/>
    <s v="111"/>
    <x v="2"/>
  </r>
  <r>
    <s v="C0227"/>
    <x v="1"/>
    <n v="742.1"/>
    <n v="10"/>
    <n v="74.64"/>
    <n v="32"/>
    <n v="19.600000000000001"/>
    <n v="4"/>
    <s v="Yes"/>
    <n v="13"/>
    <n v="62.1"/>
    <n v="16.899999999999999"/>
    <s v="South East"/>
    <s v="25-34"/>
    <n v="4"/>
    <n v="5"/>
    <n v="5"/>
    <s v="455"/>
    <x v="1"/>
  </r>
  <r>
    <s v="C0228"/>
    <x v="0"/>
    <n v="231.71"/>
    <n v="4"/>
    <n v="54.13"/>
    <n v="41"/>
    <n v="55.2"/>
    <n v="2"/>
    <s v="No"/>
    <n v="0"/>
    <n v="20.6"/>
    <n v="12.3"/>
    <s v="South East"/>
    <s v="25-34"/>
    <n v="3"/>
    <n v="3"/>
    <n v="3"/>
    <s v="333"/>
    <x v="4"/>
  </r>
  <r>
    <s v="C0229"/>
    <x v="2"/>
    <n v="73.87"/>
    <n v="2"/>
    <n v="35.119999999999997"/>
    <n v="77"/>
    <n v="43"/>
    <n v="3"/>
    <s v="Yes"/>
    <n v="1"/>
    <n v="19.3"/>
    <n v="14.1"/>
    <s v="North"/>
    <s v="18-24"/>
    <n v="2"/>
    <n v="1"/>
    <n v="1"/>
    <s v="211"/>
    <x v="2"/>
  </r>
  <r>
    <s v="C0230"/>
    <x v="3"/>
    <n v="595.1"/>
    <n v="7"/>
    <n v="85.26"/>
    <n v="7"/>
    <n v="4.3"/>
    <n v="3"/>
    <s v="Yes"/>
    <n v="16"/>
    <n v="55.2"/>
    <n v="11.7"/>
    <s v="Midlands"/>
    <s v="45-54"/>
    <n v="5"/>
    <n v="5"/>
    <n v="5"/>
    <s v="555"/>
    <x v="1"/>
  </r>
  <r>
    <s v="C0231"/>
    <x v="2"/>
    <n v="115.72"/>
    <n v="2"/>
    <n v="61.62"/>
    <n v="119"/>
    <n v="34"/>
    <n v="1"/>
    <s v="No"/>
    <n v="0"/>
    <n v="31.2"/>
    <n v="6.2"/>
    <s v="South East"/>
    <s v="45-54"/>
    <n v="1"/>
    <n v="1"/>
    <n v="1"/>
    <s v="111"/>
    <x v="2"/>
  </r>
  <r>
    <s v="C0232"/>
    <x v="5"/>
    <n v="223.06"/>
    <n v="5"/>
    <n v="43.52"/>
    <n v="29"/>
    <n v="53.4"/>
    <n v="3"/>
    <s v="No"/>
    <n v="0"/>
    <n v="26.5"/>
    <n v="8.8000000000000007"/>
    <s v="Midlands"/>
    <s v="55+"/>
    <n v="4"/>
    <n v="3"/>
    <n v="3"/>
    <s v="433"/>
    <x v="4"/>
  </r>
  <r>
    <s v="C0233"/>
    <x v="5"/>
    <n v="570.33000000000004"/>
    <n v="8"/>
    <n v="76.47"/>
    <n v="26"/>
    <n v="9.9"/>
    <n v="3"/>
    <s v="Yes"/>
    <n v="11"/>
    <n v="58.2"/>
    <n v="18.399999999999999"/>
    <s v="London"/>
    <s v="55+"/>
    <n v="4"/>
    <n v="5"/>
    <n v="5"/>
    <s v="455"/>
    <x v="1"/>
  </r>
  <r>
    <s v="C0234"/>
    <x v="5"/>
    <n v="452.74"/>
    <n v="9"/>
    <n v="51.5"/>
    <n v="19"/>
    <n v="19"/>
    <n v="4"/>
    <s v="Yes"/>
    <n v="16"/>
    <n v="50.4"/>
    <n v="14.6"/>
    <s v="London"/>
    <s v="35-44"/>
    <n v="5"/>
    <n v="5"/>
    <n v="4"/>
    <s v="554"/>
    <x v="1"/>
  </r>
  <r>
    <s v="C0235"/>
    <x v="4"/>
    <n v="189.73"/>
    <n v="4"/>
    <n v="44.72"/>
    <n v="149"/>
    <n v="16.399999999999999"/>
    <n v="1"/>
    <s v="No"/>
    <n v="0"/>
    <n v="18.8"/>
    <n v="1.4"/>
    <s v="Midlands"/>
    <s v="45-54"/>
    <n v="1"/>
    <n v="3"/>
    <n v="2"/>
    <s v="132"/>
    <x v="4"/>
  </r>
  <r>
    <s v="C0236"/>
    <x v="2"/>
    <n v="425.64"/>
    <n v="7"/>
    <n v="56.86"/>
    <n v="45"/>
    <n v="13.9"/>
    <n v="4"/>
    <s v="No"/>
    <n v="0"/>
    <n v="60.2"/>
    <n v="14.7"/>
    <s v="Midlands"/>
    <s v="55+"/>
    <n v="3"/>
    <n v="5"/>
    <n v="4"/>
    <s v="354"/>
    <x v="0"/>
  </r>
  <r>
    <s v="C0237"/>
    <x v="0"/>
    <n v="337.85"/>
    <n v="5"/>
    <n v="64.23"/>
    <n v="65"/>
    <n v="13.3"/>
    <n v="5"/>
    <s v="No"/>
    <n v="0"/>
    <n v="64.3"/>
    <n v="21.1"/>
    <s v="Scotland"/>
    <s v="45-54"/>
    <n v="2"/>
    <n v="3"/>
    <n v="4"/>
    <s v="234"/>
    <x v="5"/>
  </r>
  <r>
    <s v="C0238"/>
    <x v="4"/>
    <n v="168.5"/>
    <n v="4"/>
    <n v="43.87"/>
    <n v="64"/>
    <n v="45"/>
    <n v="3"/>
    <s v="No"/>
    <n v="0"/>
    <n v="45.3"/>
    <n v="9.1"/>
    <s v="South East"/>
    <s v="25-34"/>
    <n v="2"/>
    <n v="3"/>
    <n v="2"/>
    <s v="232"/>
    <x v="4"/>
  </r>
  <r>
    <s v="C0239"/>
    <x v="3"/>
    <n v="252.37"/>
    <n v="5"/>
    <n v="51.75"/>
    <n v="42"/>
    <n v="24.6"/>
    <n v="1"/>
    <s v="Yes"/>
    <n v="8"/>
    <n v="53.1"/>
    <n v="7.2"/>
    <s v="North"/>
    <s v="25-34"/>
    <n v="3"/>
    <n v="3"/>
    <n v="3"/>
    <s v="333"/>
    <x v="4"/>
  </r>
  <r>
    <s v="C0240"/>
    <x v="4"/>
    <n v="254.34"/>
    <n v="4"/>
    <n v="62"/>
    <n v="166"/>
    <n v="20.7"/>
    <n v="1"/>
    <s v="No"/>
    <n v="0"/>
    <n v="28.8"/>
    <n v="5.2"/>
    <s v="North"/>
    <s v="18-24"/>
    <n v="1"/>
    <n v="3"/>
    <n v="3"/>
    <s v="133"/>
    <x v="4"/>
  </r>
  <r>
    <s v="C0241"/>
    <x v="1"/>
    <n v="203.04"/>
    <n v="4"/>
    <n v="51.43"/>
    <n v="11"/>
    <n v="29.6"/>
    <n v="5"/>
    <s v="Yes"/>
    <n v="1"/>
    <n v="60.6"/>
    <n v="11.4"/>
    <s v="London"/>
    <s v="55+"/>
    <n v="5"/>
    <n v="3"/>
    <n v="2"/>
    <s v="532"/>
    <x v="4"/>
  </r>
  <r>
    <s v="C0242"/>
    <x v="1"/>
    <n v="238.85"/>
    <n v="5"/>
    <n v="45.11"/>
    <n v="36"/>
    <n v="51"/>
    <n v="2"/>
    <s v="Yes"/>
    <n v="2"/>
    <n v="41.4"/>
    <n v="8.5"/>
    <s v="North"/>
    <s v="35-44"/>
    <n v="3"/>
    <n v="3"/>
    <n v="3"/>
    <s v="333"/>
    <x v="4"/>
  </r>
  <r>
    <s v="C0243"/>
    <x v="1"/>
    <n v="98.81"/>
    <n v="2"/>
    <n v="53.33"/>
    <n v="54"/>
    <n v="29.4"/>
    <n v="3"/>
    <s v="Yes"/>
    <n v="2"/>
    <n v="22.2"/>
    <n v="3"/>
    <s v="London"/>
    <s v="25-34"/>
    <n v="2"/>
    <n v="1"/>
    <n v="1"/>
    <s v="211"/>
    <x v="2"/>
  </r>
  <r>
    <s v="C0244"/>
    <x v="0"/>
    <n v="145.76"/>
    <n v="4"/>
    <n v="34.229999999999997"/>
    <n v="141"/>
    <n v="36.9"/>
    <n v="2"/>
    <s v="No"/>
    <n v="0"/>
    <n v="13.8"/>
    <n v="7.8"/>
    <s v="Wales"/>
    <s v="35-44"/>
    <n v="1"/>
    <n v="3"/>
    <n v="2"/>
    <s v="132"/>
    <x v="4"/>
  </r>
  <r>
    <s v="C0245"/>
    <x v="4"/>
    <n v="186.92"/>
    <n v="7"/>
    <n v="24.98"/>
    <n v="27"/>
    <n v="46.8"/>
    <n v="3"/>
    <s v="Yes"/>
    <n v="7"/>
    <n v="44.4"/>
    <n v="7.8"/>
    <s v="London"/>
    <s v="35-44"/>
    <n v="4"/>
    <n v="5"/>
    <n v="2"/>
    <s v="452"/>
    <x v="0"/>
  </r>
  <r>
    <s v="C0246"/>
    <x v="1"/>
    <n v="188.9"/>
    <n v="4"/>
    <n v="49.93"/>
    <n v="28"/>
    <n v="34.4"/>
    <n v="2"/>
    <s v="Yes"/>
    <n v="6"/>
    <n v="54.7"/>
    <n v="1.1000000000000001"/>
    <s v="Midlands"/>
    <s v="25-34"/>
    <n v="4"/>
    <n v="3"/>
    <n v="2"/>
    <s v="432"/>
    <x v="4"/>
  </r>
  <r>
    <s v="C0247"/>
    <x v="0"/>
    <n v="395.53"/>
    <n v="7"/>
    <n v="60.82"/>
    <n v="43"/>
    <n v="19.899999999999999"/>
    <n v="4"/>
    <s v="Yes"/>
    <n v="5"/>
    <n v="65"/>
    <n v="8.6999999999999993"/>
    <s v="London"/>
    <s v="18-24"/>
    <n v="3"/>
    <n v="5"/>
    <n v="4"/>
    <s v="354"/>
    <x v="0"/>
  </r>
  <r>
    <s v="C0248"/>
    <x v="1"/>
    <n v="95.7"/>
    <n v="2"/>
    <n v="50.01"/>
    <n v="167"/>
    <n v="12.5"/>
    <n v="1"/>
    <s v="No"/>
    <n v="0"/>
    <n v="28.2"/>
    <n v="4.0999999999999996"/>
    <s v="Wales"/>
    <s v="35-44"/>
    <n v="1"/>
    <n v="1"/>
    <n v="1"/>
    <s v="111"/>
    <x v="2"/>
  </r>
  <r>
    <s v="C0249"/>
    <x v="1"/>
    <n v="254.01"/>
    <n v="6"/>
    <n v="44.8"/>
    <n v="52"/>
    <n v="21"/>
    <n v="5"/>
    <s v="No"/>
    <n v="0"/>
    <n v="44.2"/>
    <n v="18.899999999999999"/>
    <s v="Midlands"/>
    <s v="35-44"/>
    <n v="2"/>
    <n v="4"/>
    <n v="3"/>
    <s v="243"/>
    <x v="3"/>
  </r>
  <r>
    <s v="C0250"/>
    <x v="2"/>
    <n v="213.94"/>
    <n v="3"/>
    <n v="69.98"/>
    <n v="51"/>
    <n v="14"/>
    <n v="5"/>
    <s v="No"/>
    <n v="0"/>
    <n v="66.3"/>
    <n v="11.6"/>
    <s v="North"/>
    <s v="45-54"/>
    <n v="2"/>
    <n v="2"/>
    <n v="3"/>
    <s v="223"/>
    <x v="2"/>
  </r>
  <r>
    <s v="C0251"/>
    <x v="0"/>
    <n v="36.909999999999997"/>
    <n v="1"/>
    <n v="36.58"/>
    <n v="172"/>
    <n v="3.2"/>
    <n v="1"/>
    <s v="No"/>
    <n v="0"/>
    <n v="29.4"/>
    <n v="6.6"/>
    <s v="London"/>
    <s v="35-44"/>
    <n v="1"/>
    <n v="1"/>
    <n v="1"/>
    <s v="111"/>
    <x v="2"/>
  </r>
  <r>
    <s v="C0252"/>
    <x v="0"/>
    <n v="158.29"/>
    <n v="3"/>
    <n v="51.91"/>
    <n v="49"/>
    <n v="18.3"/>
    <n v="5"/>
    <s v="Yes"/>
    <n v="9"/>
    <n v="57"/>
    <n v="21.4"/>
    <s v="North"/>
    <s v="45-54"/>
    <n v="3"/>
    <n v="2"/>
    <n v="2"/>
    <s v="322"/>
    <x v="4"/>
  </r>
  <r>
    <s v="C0253"/>
    <x v="2"/>
    <n v="238.2"/>
    <n v="3"/>
    <n v="76.38"/>
    <n v="116"/>
    <n v="5.4"/>
    <n v="1"/>
    <s v="No"/>
    <n v="0"/>
    <n v="27.8"/>
    <n v="6.9"/>
    <s v="London"/>
    <s v="35-44"/>
    <n v="1"/>
    <n v="2"/>
    <n v="3"/>
    <s v="123"/>
    <x v="2"/>
  </r>
  <r>
    <s v="C0254"/>
    <x v="0"/>
    <n v="58.08"/>
    <n v="1"/>
    <n v="58.41"/>
    <n v="101"/>
    <n v="12.1"/>
    <n v="3"/>
    <s v="No"/>
    <n v="0"/>
    <n v="20.3"/>
    <n v="6.6"/>
    <s v="Scotland"/>
    <s v="35-44"/>
    <n v="1"/>
    <n v="1"/>
    <n v="1"/>
    <s v="111"/>
    <x v="2"/>
  </r>
  <r>
    <s v="C0255"/>
    <x v="4"/>
    <n v="77.94"/>
    <n v="1"/>
    <n v="77.94"/>
    <n v="148"/>
    <n v="9.1999999999999993"/>
    <n v="3"/>
    <s v="No"/>
    <n v="0"/>
    <n v="12"/>
    <n v="9.9"/>
    <s v="London"/>
    <s v="45-54"/>
    <n v="1"/>
    <n v="1"/>
    <n v="1"/>
    <s v="111"/>
    <x v="2"/>
  </r>
  <r>
    <s v="C0256"/>
    <x v="5"/>
    <n v="140.47999999999999"/>
    <n v="4"/>
    <n v="34.979999999999997"/>
    <n v="132"/>
    <n v="32.6"/>
    <n v="2"/>
    <s v="No"/>
    <n v="0"/>
    <n v="14"/>
    <n v="8.1"/>
    <s v="London"/>
    <s v="25-34"/>
    <n v="1"/>
    <n v="3"/>
    <n v="2"/>
    <s v="132"/>
    <x v="4"/>
  </r>
  <r>
    <s v="C0257"/>
    <x v="1"/>
    <n v="689.27"/>
    <n v="9"/>
    <n v="74.98"/>
    <n v="36"/>
    <n v="15.8"/>
    <n v="4"/>
    <s v="Yes"/>
    <n v="12"/>
    <n v="63.8"/>
    <n v="10.3"/>
    <s v="London"/>
    <s v="18-24"/>
    <n v="3"/>
    <n v="5"/>
    <n v="5"/>
    <s v="355"/>
    <x v="0"/>
  </r>
  <r>
    <s v="C0258"/>
    <x v="3"/>
    <n v="229.99"/>
    <n v="4"/>
    <n v="58.41"/>
    <n v="56"/>
    <n v="17"/>
    <n v="5"/>
    <s v="Yes"/>
    <n v="13"/>
    <n v="40.4"/>
    <n v="14.4"/>
    <s v="Midlands"/>
    <s v="18-24"/>
    <n v="2"/>
    <n v="3"/>
    <n v="3"/>
    <s v="233"/>
    <x v="4"/>
  </r>
  <r>
    <s v="C0259"/>
    <x v="5"/>
    <n v="361.25"/>
    <n v="6"/>
    <n v="64.489999999999995"/>
    <n v="59"/>
    <n v="16.8"/>
    <n v="6"/>
    <s v="No"/>
    <n v="0"/>
    <n v="49.3"/>
    <n v="16"/>
    <s v="Midlands"/>
    <s v="45-54"/>
    <n v="2"/>
    <n v="4"/>
    <n v="4"/>
    <s v="244"/>
    <x v="3"/>
  </r>
  <r>
    <s v="C0260"/>
    <x v="4"/>
    <n v="659.54"/>
    <n v="13"/>
    <n v="50.48"/>
    <n v="5"/>
    <n v="17.3"/>
    <n v="5"/>
    <s v="Yes"/>
    <n v="10"/>
    <n v="48.6"/>
    <n v="15.8"/>
    <s v="London"/>
    <s v="35-44"/>
    <n v="5"/>
    <n v="5"/>
    <n v="5"/>
    <s v="555"/>
    <x v="1"/>
  </r>
  <r>
    <s v="C0261"/>
    <x v="3"/>
    <n v="354.82"/>
    <n v="5"/>
    <n v="69.489999999999995"/>
    <n v="13"/>
    <n v="29.4"/>
    <n v="3"/>
    <s v="Yes"/>
    <n v="11"/>
    <n v="59.4"/>
    <n v="9"/>
    <s v="North"/>
    <s v="35-44"/>
    <n v="5"/>
    <n v="3"/>
    <n v="4"/>
    <s v="534"/>
    <x v="5"/>
  </r>
  <r>
    <s v="C0262"/>
    <x v="1"/>
    <n v="538.29"/>
    <n v="7"/>
    <n v="74.17"/>
    <n v="37"/>
    <n v="5.8"/>
    <n v="5"/>
    <s v="No"/>
    <n v="0"/>
    <n v="56"/>
    <n v="21.4"/>
    <s v="Midlands"/>
    <s v="25-34"/>
    <n v="3"/>
    <n v="5"/>
    <n v="5"/>
    <s v="355"/>
    <x v="0"/>
  </r>
  <r>
    <s v="C0263"/>
    <x v="4"/>
    <n v="137.69"/>
    <n v="3"/>
    <n v="45.6"/>
    <n v="19"/>
    <n v="73"/>
    <n v="2"/>
    <s v="Yes"/>
    <n v="7"/>
    <n v="63.5"/>
    <n v="7.4"/>
    <s v="Midlands"/>
    <s v="18-24"/>
    <n v="5"/>
    <n v="2"/>
    <n v="2"/>
    <s v="522"/>
    <x v="6"/>
  </r>
  <r>
    <s v="C0264"/>
    <x v="5"/>
    <n v="127.2"/>
    <n v="3"/>
    <n v="44.15"/>
    <n v="151"/>
    <n v="6.5"/>
    <n v="3"/>
    <s v="Yes"/>
    <n v="3"/>
    <n v="37.799999999999997"/>
    <n v="4.9000000000000004"/>
    <s v="Midlands"/>
    <s v="18-24"/>
    <n v="1"/>
    <n v="2"/>
    <n v="1"/>
    <s v="121"/>
    <x v="2"/>
  </r>
  <r>
    <s v="C0265"/>
    <x v="2"/>
    <n v="513.48"/>
    <n v="9"/>
    <n v="56.54"/>
    <n v="30"/>
    <n v="21.5"/>
    <n v="5"/>
    <s v="Yes"/>
    <n v="6"/>
    <n v="63.2"/>
    <n v="11.4"/>
    <s v="Midlands"/>
    <s v="25-34"/>
    <n v="4"/>
    <n v="5"/>
    <n v="5"/>
    <s v="455"/>
    <x v="1"/>
  </r>
  <r>
    <s v="C0266"/>
    <x v="2"/>
    <n v="358.19"/>
    <n v="6"/>
    <n v="55.82"/>
    <n v="57"/>
    <n v="15.7"/>
    <n v="4"/>
    <s v="No"/>
    <n v="0"/>
    <n v="64.3"/>
    <n v="1.7"/>
    <s v="Midlands"/>
    <s v="35-44"/>
    <n v="2"/>
    <n v="4"/>
    <n v="4"/>
    <s v="244"/>
    <x v="3"/>
  </r>
  <r>
    <s v="C0267"/>
    <x v="3"/>
    <n v="109.35"/>
    <n v="2"/>
    <n v="53.33"/>
    <n v="42"/>
    <n v="22.6"/>
    <n v="5"/>
    <s v="Yes"/>
    <n v="7"/>
    <n v="43.1"/>
    <n v="6.7"/>
    <s v="London"/>
    <s v="25-34"/>
    <n v="3"/>
    <n v="1"/>
    <n v="1"/>
    <s v="311"/>
    <x v="4"/>
  </r>
  <r>
    <s v="C0268"/>
    <x v="3"/>
    <n v="182.84"/>
    <n v="6"/>
    <n v="32.770000000000003"/>
    <n v="4"/>
    <n v="27.8"/>
    <n v="1"/>
    <s v="No"/>
    <n v="0"/>
    <n v="57.9"/>
    <n v="6.9"/>
    <s v="London"/>
    <s v="25-34"/>
    <n v="5"/>
    <n v="4"/>
    <n v="2"/>
    <s v="542"/>
    <x v="0"/>
  </r>
  <r>
    <s v="C0269"/>
    <x v="0"/>
    <n v="576.33000000000004"/>
    <n v="8"/>
    <n v="73.31"/>
    <n v="9"/>
    <n v="11.5"/>
    <n v="5"/>
    <s v="Yes"/>
    <n v="19"/>
    <n v="46"/>
    <n v="14.2"/>
    <s v="Scotland"/>
    <s v="55+"/>
    <n v="5"/>
    <n v="5"/>
    <n v="5"/>
    <s v="555"/>
    <x v="1"/>
  </r>
  <r>
    <s v="C0270"/>
    <x v="0"/>
    <n v="236.17"/>
    <n v="7"/>
    <n v="36.17"/>
    <n v="63"/>
    <n v="74"/>
    <n v="3"/>
    <s v="No"/>
    <n v="0"/>
    <n v="48.3"/>
    <n v="10.7"/>
    <s v="Wales"/>
    <s v="25-34"/>
    <n v="2"/>
    <n v="5"/>
    <n v="3"/>
    <s v="253"/>
    <x v="3"/>
  </r>
  <r>
    <s v="C0271"/>
    <x v="2"/>
    <n v="265.36"/>
    <n v="4"/>
    <n v="65.34"/>
    <n v="69"/>
    <n v="23.4"/>
    <n v="1"/>
    <s v="No"/>
    <n v="0"/>
    <n v="20.2"/>
    <n v="1.6"/>
    <s v="South East"/>
    <s v="35-44"/>
    <n v="2"/>
    <n v="3"/>
    <n v="3"/>
    <s v="233"/>
    <x v="4"/>
  </r>
  <r>
    <s v="C0272"/>
    <x v="2"/>
    <n v="396.9"/>
    <n v="6"/>
    <n v="71.400000000000006"/>
    <n v="27"/>
    <n v="48.7"/>
    <n v="5"/>
    <s v="Yes"/>
    <n v="9"/>
    <n v="53.6"/>
    <n v="8.9"/>
    <s v="South East"/>
    <s v="45-54"/>
    <n v="4"/>
    <n v="4"/>
    <n v="4"/>
    <s v="444"/>
    <x v="1"/>
  </r>
  <r>
    <s v="C0273"/>
    <x v="2"/>
    <n v="69.489999999999995"/>
    <n v="3"/>
    <n v="24.61"/>
    <n v="145"/>
    <n v="28.8"/>
    <n v="1"/>
    <s v="No"/>
    <n v="0"/>
    <n v="38.4"/>
    <n v="3.2"/>
    <s v="North"/>
    <s v="25-34"/>
    <n v="1"/>
    <n v="2"/>
    <n v="1"/>
    <s v="121"/>
    <x v="2"/>
  </r>
  <r>
    <s v="C0274"/>
    <x v="1"/>
    <n v="767.46"/>
    <n v="9"/>
    <n v="91.92"/>
    <n v="17"/>
    <n v="7"/>
    <n v="3"/>
    <s v="Yes"/>
    <n v="11"/>
    <n v="65.7"/>
    <n v="14.5"/>
    <s v="Midlands"/>
    <s v="35-44"/>
    <n v="5"/>
    <n v="5"/>
    <n v="5"/>
    <s v="555"/>
    <x v="1"/>
  </r>
  <r>
    <s v="C0275"/>
    <x v="5"/>
    <n v="61.37"/>
    <n v="1"/>
    <n v="60.11"/>
    <n v="60"/>
    <n v="26.2"/>
    <n v="3"/>
    <s v="No"/>
    <n v="0"/>
    <n v="32.200000000000003"/>
    <n v="5.6"/>
    <s v="London"/>
    <s v="45-54"/>
    <n v="2"/>
    <n v="1"/>
    <n v="1"/>
    <s v="211"/>
    <x v="2"/>
  </r>
  <r>
    <s v="C0276"/>
    <x v="5"/>
    <n v="300.64999999999998"/>
    <n v="6"/>
    <n v="52.77"/>
    <n v="38"/>
    <n v="54.3"/>
    <n v="5"/>
    <s v="Yes"/>
    <n v="8"/>
    <n v="49"/>
    <n v="17.7"/>
    <s v="London"/>
    <s v="55+"/>
    <n v="3"/>
    <n v="4"/>
    <n v="3"/>
    <s v="343"/>
    <x v="0"/>
  </r>
  <r>
    <s v="C0277"/>
    <x v="2"/>
    <n v="249.12"/>
    <n v="5"/>
    <n v="52.47"/>
    <n v="63"/>
    <n v="27.4"/>
    <n v="5"/>
    <s v="Yes"/>
    <n v="4"/>
    <n v="35.799999999999997"/>
    <n v="11.9"/>
    <s v="North"/>
    <s v="18-24"/>
    <n v="2"/>
    <n v="3"/>
    <n v="3"/>
    <s v="233"/>
    <x v="4"/>
  </r>
  <r>
    <s v="C0278"/>
    <x v="3"/>
    <n v="416.52"/>
    <n v="7"/>
    <n v="59.45"/>
    <n v="17"/>
    <n v="11.2"/>
    <n v="1"/>
    <s v="Yes"/>
    <n v="20"/>
    <n v="53.6"/>
    <n v="16.899999999999999"/>
    <s v="North"/>
    <s v="55+"/>
    <n v="5"/>
    <n v="5"/>
    <n v="4"/>
    <s v="554"/>
    <x v="1"/>
  </r>
  <r>
    <s v="C0279"/>
    <x v="3"/>
    <n v="559.97"/>
    <n v="8"/>
    <n v="75.08"/>
    <n v="53"/>
    <n v="27.6"/>
    <n v="5"/>
    <s v="No"/>
    <n v="0"/>
    <n v="34.6"/>
    <n v="10.6"/>
    <s v="London"/>
    <s v="25-34"/>
    <n v="2"/>
    <n v="5"/>
    <n v="5"/>
    <s v="255"/>
    <x v="3"/>
  </r>
  <r>
    <s v="C0280"/>
    <x v="2"/>
    <n v="152.46"/>
    <n v="3"/>
    <n v="53.9"/>
    <n v="142"/>
    <n v="21.2"/>
    <n v="1"/>
    <s v="No"/>
    <n v="0"/>
    <n v="24.6"/>
    <n v="5.4"/>
    <s v="South East"/>
    <s v="25-34"/>
    <n v="1"/>
    <n v="2"/>
    <n v="2"/>
    <s v="122"/>
    <x v="2"/>
  </r>
  <r>
    <s v="C0281"/>
    <x v="2"/>
    <n v="242.87"/>
    <n v="6"/>
    <n v="39.049999999999997"/>
    <n v="59"/>
    <n v="37.5"/>
    <n v="4"/>
    <s v="Yes"/>
    <n v="1"/>
    <n v="49.1"/>
    <n v="15.5"/>
    <s v="South East"/>
    <s v="25-34"/>
    <n v="2"/>
    <n v="4"/>
    <n v="3"/>
    <s v="243"/>
    <x v="3"/>
  </r>
  <r>
    <s v="C0282"/>
    <x v="0"/>
    <n v="124.78"/>
    <n v="4"/>
    <n v="29.22"/>
    <n v="35"/>
    <n v="44.1"/>
    <n v="3"/>
    <s v="No"/>
    <n v="0"/>
    <n v="32.6"/>
    <n v="4.4000000000000004"/>
    <s v="North"/>
    <s v="55+"/>
    <n v="3"/>
    <n v="3"/>
    <n v="1"/>
    <s v="331"/>
    <x v="4"/>
  </r>
  <r>
    <s v="C0283"/>
    <x v="0"/>
    <n v="277.98"/>
    <n v="5"/>
    <n v="52.8"/>
    <n v="193"/>
    <n v="18.399999999999999"/>
    <n v="1"/>
    <s v="No"/>
    <n v="0"/>
    <n v="26"/>
    <n v="4"/>
    <s v="London"/>
    <s v="25-34"/>
    <n v="1"/>
    <n v="3"/>
    <n v="3"/>
    <s v="133"/>
    <x v="4"/>
  </r>
  <r>
    <s v="C0284"/>
    <x v="4"/>
    <n v="138.66"/>
    <n v="3"/>
    <n v="45.65"/>
    <n v="33"/>
    <n v="29.2"/>
    <n v="5"/>
    <s v="Yes"/>
    <n v="6"/>
    <n v="42.5"/>
    <n v="21"/>
    <s v="London"/>
    <s v="25-34"/>
    <n v="3"/>
    <n v="2"/>
    <n v="2"/>
    <s v="322"/>
    <x v="4"/>
  </r>
  <r>
    <s v="C0285"/>
    <x v="5"/>
    <n v="578.20000000000005"/>
    <n v="8"/>
    <n v="76.75"/>
    <n v="29"/>
    <n v="7.2"/>
    <n v="5"/>
    <s v="Yes"/>
    <n v="3"/>
    <n v="57.9"/>
    <n v="16"/>
    <s v="North"/>
    <s v="35-44"/>
    <n v="4"/>
    <n v="5"/>
    <n v="5"/>
    <s v="455"/>
    <x v="1"/>
  </r>
  <r>
    <s v="C0286"/>
    <x v="4"/>
    <n v="220.62"/>
    <n v="3"/>
    <n v="72.66"/>
    <n v="13"/>
    <n v="20.2"/>
    <n v="4"/>
    <s v="Yes"/>
    <n v="14"/>
    <n v="59.4"/>
    <n v="4.3"/>
    <s v="London"/>
    <s v="25-34"/>
    <n v="5"/>
    <n v="2"/>
    <n v="3"/>
    <s v="523"/>
    <x v="6"/>
  </r>
  <r>
    <s v="C0287"/>
    <x v="5"/>
    <n v="81.08"/>
    <n v="2"/>
    <n v="40.130000000000003"/>
    <n v="211"/>
    <n v="43"/>
    <n v="2"/>
    <s v="Yes"/>
    <n v="1"/>
    <n v="31.6"/>
    <n v="3.1"/>
    <s v="North"/>
    <s v="18-24"/>
    <n v="1"/>
    <n v="1"/>
    <n v="1"/>
    <s v="111"/>
    <x v="2"/>
  </r>
  <r>
    <s v="C0288"/>
    <x v="5"/>
    <n v="543.9"/>
    <n v="9"/>
    <n v="61.23"/>
    <n v="27"/>
    <n v="20.3"/>
    <n v="4"/>
    <s v="Yes"/>
    <n v="17"/>
    <n v="51.2"/>
    <n v="12.9"/>
    <s v="South East"/>
    <s v="18-24"/>
    <n v="4"/>
    <n v="5"/>
    <n v="5"/>
    <s v="455"/>
    <x v="1"/>
  </r>
  <r>
    <s v="C0289"/>
    <x v="0"/>
    <n v="380.05"/>
    <n v="6"/>
    <n v="62.09"/>
    <n v="39"/>
    <n v="25.9"/>
    <n v="3"/>
    <s v="Yes"/>
    <n v="6"/>
    <n v="29.1"/>
    <n v="9.8000000000000007"/>
    <s v="London"/>
    <s v="18-24"/>
    <n v="3"/>
    <n v="4"/>
    <n v="4"/>
    <s v="344"/>
    <x v="0"/>
  </r>
  <r>
    <s v="C0290"/>
    <x v="3"/>
    <n v="68.55"/>
    <n v="1"/>
    <n v="69.34"/>
    <n v="142"/>
    <n v="31.6"/>
    <n v="2"/>
    <s v="No"/>
    <n v="0"/>
    <n v="30.6"/>
    <n v="8.8000000000000007"/>
    <s v="South East"/>
    <s v="18-24"/>
    <n v="1"/>
    <n v="1"/>
    <n v="1"/>
    <s v="111"/>
    <x v="2"/>
  </r>
  <r>
    <s v="C0291"/>
    <x v="4"/>
    <n v="610.13"/>
    <n v="8"/>
    <n v="75.209999999999994"/>
    <n v="8"/>
    <n v="13.2"/>
    <n v="4"/>
    <s v="Yes"/>
    <n v="9"/>
    <n v="47"/>
    <n v="18.600000000000001"/>
    <s v="North"/>
    <s v="18-24"/>
    <n v="5"/>
    <n v="5"/>
    <n v="5"/>
    <s v="555"/>
    <x v="1"/>
  </r>
  <r>
    <s v="C0292"/>
    <x v="4"/>
    <n v="81.94"/>
    <n v="1"/>
    <n v="78.040000000000006"/>
    <n v="143"/>
    <n v="9.8000000000000007"/>
    <n v="1"/>
    <s v="No"/>
    <n v="0"/>
    <n v="16.2"/>
    <n v="0.3"/>
    <s v="Scotland"/>
    <s v="35-44"/>
    <n v="1"/>
    <n v="1"/>
    <n v="1"/>
    <s v="111"/>
    <x v="2"/>
  </r>
  <r>
    <s v="C0293"/>
    <x v="2"/>
    <n v="347.64"/>
    <n v="8"/>
    <n v="46.83"/>
    <n v="10"/>
    <n v="75.599999999999994"/>
    <n v="4"/>
    <s v="No"/>
    <n v="0"/>
    <n v="49.5"/>
    <n v="12.6"/>
    <s v="Scotland"/>
    <s v="25-34"/>
    <n v="5"/>
    <n v="5"/>
    <n v="4"/>
    <s v="554"/>
    <x v="1"/>
  </r>
  <r>
    <s v="C0294"/>
    <x v="0"/>
    <n v="121.37"/>
    <n v="2"/>
    <n v="59.03"/>
    <n v="102"/>
    <n v="19.7"/>
    <n v="1"/>
    <s v="No"/>
    <n v="0"/>
    <n v="22"/>
    <n v="8.5"/>
    <s v="South East"/>
    <s v="25-34"/>
    <n v="1"/>
    <n v="1"/>
    <n v="1"/>
    <s v="111"/>
    <x v="2"/>
  </r>
  <r>
    <s v="C0295"/>
    <x v="4"/>
    <n v="558.66999999999996"/>
    <n v="9"/>
    <n v="64.09"/>
    <n v="36"/>
    <n v="7.3"/>
    <n v="2"/>
    <s v="No"/>
    <n v="0"/>
    <n v="51"/>
    <n v="18.8"/>
    <s v="North"/>
    <s v="45-54"/>
    <n v="3"/>
    <n v="5"/>
    <n v="5"/>
    <s v="355"/>
    <x v="0"/>
  </r>
  <r>
    <s v="C0296"/>
    <x v="5"/>
    <n v="306.11"/>
    <n v="5"/>
    <n v="64.239999999999995"/>
    <n v="17"/>
    <n v="33.299999999999997"/>
    <n v="4"/>
    <s v="No"/>
    <n v="0"/>
    <n v="53.3"/>
    <n v="21.1"/>
    <s v="London"/>
    <s v="25-34"/>
    <n v="5"/>
    <n v="3"/>
    <n v="4"/>
    <s v="534"/>
    <x v="5"/>
  </r>
  <r>
    <s v="C0297"/>
    <x v="2"/>
    <n v="122.14"/>
    <n v="2"/>
    <n v="58.42"/>
    <n v="17"/>
    <n v="45"/>
    <n v="4"/>
    <s v="Yes"/>
    <n v="10"/>
    <n v="39.700000000000003"/>
    <n v="9.8000000000000007"/>
    <s v="South East"/>
    <s v="35-44"/>
    <n v="5"/>
    <n v="1"/>
    <n v="1"/>
    <s v="511"/>
    <x v="6"/>
  </r>
  <r>
    <s v="C0298"/>
    <x v="4"/>
    <n v="240.67"/>
    <n v="4"/>
    <n v="64.7"/>
    <n v="39"/>
    <n v="30.2"/>
    <n v="4"/>
    <s v="No"/>
    <n v="0"/>
    <n v="51.7"/>
    <n v="5.5"/>
    <s v="Scotland"/>
    <s v="25-34"/>
    <n v="3"/>
    <n v="3"/>
    <n v="3"/>
    <s v="333"/>
    <x v="4"/>
  </r>
  <r>
    <s v="C0299"/>
    <x v="3"/>
    <n v="45.6"/>
    <n v="1"/>
    <n v="43.12"/>
    <n v="103"/>
    <n v="21.6"/>
    <n v="1"/>
    <s v="No"/>
    <n v="0"/>
    <n v="19"/>
    <n v="7.2"/>
    <s v="London"/>
    <s v="25-34"/>
    <n v="1"/>
    <n v="1"/>
    <n v="1"/>
    <s v="111"/>
    <x v="2"/>
  </r>
  <r>
    <s v="C0300"/>
    <x v="4"/>
    <n v="621.11"/>
    <n v="8"/>
    <n v="77.510000000000005"/>
    <n v="14"/>
    <n v="14.7"/>
    <n v="4"/>
    <s v="Yes"/>
    <n v="13"/>
    <n v="82.6"/>
    <n v="16"/>
    <s v="London"/>
    <s v="18-24"/>
    <n v="5"/>
    <n v="5"/>
    <n v="5"/>
    <s v="55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D7A10-D0CF-A34E-978A-7CE4A2E8D0AC}" name="PivotTable10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:H17" firstHeaderRow="0" firstDataRow="1" firstDataCol="1"/>
  <pivotFields count="19"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5"/>
        <item x="1"/>
        <item x="2"/>
        <item x="0"/>
        <item x="6"/>
        <item x="4"/>
        <item t="default"/>
      </items>
    </pivotField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Total_Spend_12M_GBP" fld="2" subtotal="average" baseField="0" baseItem="0"/>
    <dataField name="Average of Number_of_Orders_12M" fld="3" subtotal="average" baseField="0" baseItem="0"/>
    <dataField name="Average of Average_Order_Value_GBP" fld="4" subtotal="average" baseField="0" baseItem="0"/>
    <dataField name="Average of Days_Since_Last_Purchase" fld="5" subtotal="average" baseField="0" baseItem="0"/>
    <dataField name="Average of Discount_Usage_Rate_Pct" fld="6" subtotal="average" baseField="0" baseItem="0"/>
    <dataField name="Average of Email_Open_Rate_Pct" fld="10" subtotal="average" baseField="0" baseItem="0"/>
    <dataField name="Count of Customer_ID" fld="0" subtotal="count" baseField="0" baseItem="0"/>
  </dataFields>
  <formats count="11">
    <format dxfId="40">
      <pivotArea collapsedLevelsAreSubtotals="1" fieldPosition="0">
        <references count="2">
          <reference field="4294967294" count="1" selected="0">
            <x v="0"/>
          </reference>
          <reference field="18" count="0"/>
        </references>
      </pivotArea>
    </format>
    <format dxfId="39">
      <pivotArea collapsedLevelsAreSubtotals="1" fieldPosition="0">
        <references count="2">
          <reference field="4294967294" count="1" selected="0">
            <x v="0"/>
          </reference>
          <reference field="18" count="0"/>
        </references>
      </pivotArea>
    </format>
    <format dxfId="38">
      <pivotArea collapsedLevelsAreSubtotals="1" fieldPosition="0">
        <references count="2">
          <reference field="4294967294" count="1" selected="0">
            <x v="2"/>
          </reference>
          <reference field="18" count="0"/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18" count="6">
            <x v="1"/>
            <x v="2"/>
            <x v="3"/>
            <x v="4"/>
            <x v="5"/>
            <x v="6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3"/>
          </reference>
          <reference field="18" count="6">
            <x v="1"/>
            <x v="2"/>
            <x v="3"/>
            <x v="4"/>
            <x v="5"/>
            <x v="6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4"/>
          </reference>
          <reference field="18" count="6">
            <x v="1"/>
            <x v="2"/>
            <x v="3"/>
            <x v="4"/>
            <x v="5"/>
            <x v="6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5"/>
          </reference>
          <reference field="18" count="6">
            <x v="1"/>
            <x v="2"/>
            <x v="3"/>
            <x v="4"/>
            <x v="5"/>
            <x v="6"/>
          </reference>
        </references>
      </pivotArea>
    </format>
    <format dxfId="33">
      <pivotArea collapsedLevelsAreSubtotals="1" fieldPosition="0">
        <references count="2">
          <reference field="4294967294" count="2" selected="0">
            <x v="4"/>
            <x v="5"/>
          </reference>
          <reference field="18" count="1">
            <x v="0"/>
          </reference>
        </references>
      </pivotArea>
    </format>
    <format dxfId="32">
      <pivotArea field="18" grandRow="1" outline="0" collapsedLevelsAreSubtotals="1" axis="axisRow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31">
      <pivotArea field="1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30">
      <pivotArea field="1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0DB13-50CC-A64C-815C-4041168D4B19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11" firstHeaderRow="0" firstDataRow="1" firstDataCol="1"/>
  <pivotFields count="19"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5"/>
        <item x="1"/>
        <item x="2"/>
        <item x="0"/>
        <item x="6"/>
        <item x="4"/>
        <item t="default"/>
      </items>
    </pivotField>
  </pivotFields>
  <rowFields count="1">
    <field x="1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Total_Spend_12M_GBP" fld="2" subtotal="average" baseField="0" baseItem="0"/>
    <dataField name="Average of Number_of_Orders_12M" fld="3" subtotal="average" baseField="0" baseItem="0"/>
    <dataField name="Average of Average_Order_Value_GBP" fld="4" subtotal="average" baseField="0" baseItem="0"/>
    <dataField name="Average of Days_Since_Last_Purchase" fld="5" subtotal="average" baseField="0" baseItem="0"/>
    <dataField name="Average of Discount_Usage_Rate_Pct" fld="6" subtotal="average" baseField="0" baseItem="0"/>
    <dataField name="Average of Email_Open_Rate_Pct" fld="10" subtotal="average" baseField="0" baseItem="0"/>
    <dataField name="Count of Customer_ID" fld="0" subtotal="count" baseField="0" baseItem="0"/>
  </dataFields>
  <formats count="11">
    <format dxfId="27">
      <pivotArea collapsedLevelsAreSubtotals="1" fieldPosition="0">
        <references count="2">
          <reference field="4294967294" count="1" selected="0">
            <x v="0"/>
          </reference>
          <reference field="18" count="0"/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18" count="0"/>
        </references>
      </pivotArea>
    </format>
    <format dxfId="25">
      <pivotArea collapsedLevelsAreSubtotals="1" fieldPosition="0">
        <references count="2">
          <reference field="4294967294" count="1" selected="0">
            <x v="2"/>
          </reference>
          <reference field="18" count="0"/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18" count="6">
            <x v="1"/>
            <x v="2"/>
            <x v="3"/>
            <x v="4"/>
            <x v="5"/>
            <x v="6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3"/>
          </reference>
          <reference field="18" count="6">
            <x v="1"/>
            <x v="2"/>
            <x v="3"/>
            <x v="4"/>
            <x v="5"/>
            <x v="6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4"/>
          </reference>
          <reference field="18" count="6">
            <x v="1"/>
            <x v="2"/>
            <x v="3"/>
            <x v="4"/>
            <x v="5"/>
            <x v="6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5"/>
          </reference>
          <reference field="18" count="6">
            <x v="1"/>
            <x v="2"/>
            <x v="3"/>
            <x v="4"/>
            <x v="5"/>
            <x v="6"/>
          </reference>
        </references>
      </pivotArea>
    </format>
    <format dxfId="20">
      <pivotArea collapsedLevelsAreSubtotals="1" fieldPosition="0">
        <references count="2">
          <reference field="4294967294" count="2" selected="0">
            <x v="4"/>
            <x v="5"/>
          </reference>
          <reference field="18" count="1">
            <x v="0"/>
          </reference>
        </references>
      </pivotArea>
    </format>
    <format dxfId="19">
      <pivotArea field="18" grandRow="1" outline="0" collapsedLevelsAreSubtotals="1" axis="axisRow" fieldPosition="0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18">
      <pivotArea field="18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7">
      <pivotArea field="18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08381-03F0-C042-8FB2-70B760BCD92F}" name="PivotTable7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O3:W11" firstHeaderRow="1" firstDataRow="2" firstDataCol="1"/>
  <pivotFields count="19">
    <pivotField dataField="1" showAll="0"/>
    <pivotField axis="axisRow" showAll="0">
      <items count="7">
        <item x="5"/>
        <item x="3"/>
        <item x="2"/>
        <item x="0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3"/>
        <item x="5"/>
        <item x="1"/>
        <item x="2"/>
        <item x="0"/>
        <item x="6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ustomer_ID" fld="0" subtotal="count" baseField="0" baseItem="0"/>
  </dataFields>
  <formats count="10"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18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18" count="0"/>
        </references>
      </pivotArea>
    </format>
    <format dxfId="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F3106A-8371-B847-A70A-903621D0A3C4}" name="Table4" displayName="Table4" ref="A46:C51" totalsRowShown="0">
  <autoFilter ref="A46:C51" xr:uid="{E0F3106A-8371-B847-A70A-903621D0A3C4}">
    <filterColumn colId="0" hiddenButton="1"/>
    <filterColumn colId="1" hiddenButton="1"/>
    <filterColumn colId="2" hiddenButton="1"/>
  </autoFilter>
  <tableColumns count="3">
    <tableColumn id="1" xr3:uid="{B5AA4768-226D-6A43-A48A-6ABD2916ADB3}" name="Channel "/>
    <tableColumn id="2" xr3:uid="{2CFF7C1A-258F-2344-865F-F1AEA013031B}" name="Average ROAS "/>
    <tableColumn id="3" xr3:uid="{A3060245-8C1D-7649-9170-AA76D02AF901}" name="Average CAC (GBP)" dataDxfId="2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0B3BEA-46E3-D44C-915A-E46E9251D8AB}" name="Table6" displayName="Table6" ref="A54:C60" totalsRowShown="0">
  <autoFilter ref="A54:C60" xr:uid="{990B3BEA-46E3-D44C-915A-E46E9251D8AB}">
    <filterColumn colId="0" hiddenButton="1"/>
    <filterColumn colId="1" hiddenButton="1"/>
    <filterColumn colId="2" hiddenButton="1"/>
  </autoFilter>
  <tableColumns count="3">
    <tableColumn id="1" xr3:uid="{D772F4AD-0C2A-E640-A8E7-7954B7C44B12}" name="Channel"/>
    <tableColumn id="2" xr3:uid="{4E0268D4-A637-114E-8863-79BFC2507990}" name="Average CAC (GBP)"/>
    <tableColumn id="3" xr3:uid="{082823BC-5F21-4A4C-BAB6-78DF8DB3EBB3}" name="% Champions" dataDxfId="2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EB90E-D556-4146-ABEA-354E79691CC7}" name="Table1" displayName="Table1" ref="O15:Q20" totalsRowShown="0" headerRowDxfId="6">
  <autoFilter ref="O15:Q20" xr:uid="{FAEEB90E-D556-4146-ABEA-354E79691CC7}">
    <filterColumn colId="0" hiddenButton="1"/>
    <filterColumn colId="1" hiddenButton="1"/>
    <filterColumn colId="2" hiddenButton="1"/>
  </autoFilter>
  <tableColumns count="3">
    <tableColumn id="1" xr3:uid="{1FA7D307-A61C-5544-A237-3A72855360DC}" name="Channel " dataDxfId="5"/>
    <tableColumn id="2" xr3:uid="{081744E8-D515-E14E-B095-120A139DCDB1}" name="Average ROAS " dataDxfId="4"/>
    <tableColumn id="3" xr3:uid="{9D6928F6-A9B4-6A44-BC1D-D879C13228D9}" name="Average CAC (GBP)" dataDxfId="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9B67041-012E-124E-BA62-68B6C140A436}" name="Table5" displayName="Table5" ref="O24:Q30" totalsRowShown="0" headerRowDxfId="2">
  <autoFilter ref="O24:Q30" xr:uid="{39B67041-012E-124E-BA62-68B6C140A436}">
    <filterColumn colId="0" hiddenButton="1"/>
    <filterColumn colId="1" hiddenButton="1"/>
    <filterColumn colId="2" hiddenButton="1"/>
  </autoFilter>
  <tableColumns count="3">
    <tableColumn id="1" xr3:uid="{BEB9DB09-77BC-5E4B-8527-1285D5DBE1FF}" name="Channel" dataDxfId="1"/>
    <tableColumn id="2" xr3:uid="{D80C0AA1-E64A-4B40-A411-6D2982A278FA}" name="Average CAC (GBP)"/>
    <tableColumn id="3" xr3:uid="{36DD7684-4BC8-E04A-810F-35B99FBC22A5}" name="% Champ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5"/>
  <sheetViews>
    <sheetView topLeftCell="A2" workbookViewId="0">
      <selection activeCell="B10" sqref="B10"/>
    </sheetView>
  </sheetViews>
  <sheetFormatPr baseColWidth="10" defaultColWidth="8.83203125" defaultRowHeight="15" x14ac:dyDescent="0.2"/>
  <cols>
    <col min="2" max="2" width="44.83203125" customWidth="1"/>
    <col min="3" max="3" width="65.33203125" customWidth="1"/>
    <col min="4" max="4" width="42" customWidth="1"/>
  </cols>
  <sheetData>
    <row r="1" spans="2:4" ht="16" thickBot="1" x14ac:dyDescent="0.25"/>
    <row r="2" spans="2:4" ht="22" thickBot="1" x14ac:dyDescent="0.25">
      <c r="B2" s="1" t="s">
        <v>0</v>
      </c>
      <c r="C2" s="2" t="s">
        <v>1</v>
      </c>
    </row>
    <row r="3" spans="2:4" ht="28" customHeight="1" x14ac:dyDescent="0.25">
      <c r="B3" s="14" t="s">
        <v>2</v>
      </c>
      <c r="C3" s="13" t="s">
        <v>3</v>
      </c>
    </row>
    <row r="4" spans="2:4" ht="36" customHeight="1" x14ac:dyDescent="0.25">
      <c r="B4" s="15" t="s">
        <v>4</v>
      </c>
      <c r="C4" s="8" t="s">
        <v>5</v>
      </c>
    </row>
    <row r="5" spans="2:4" ht="42" customHeight="1" thickBot="1" x14ac:dyDescent="0.3">
      <c r="B5" s="16" t="s">
        <v>6</v>
      </c>
      <c r="C5" s="12" t="s">
        <v>7</v>
      </c>
    </row>
    <row r="9" spans="2:4" ht="16" thickBot="1" x14ac:dyDescent="0.25"/>
    <row r="10" spans="2:4" ht="22" thickBot="1" x14ac:dyDescent="0.3">
      <c r="B10" s="17" t="s">
        <v>2</v>
      </c>
      <c r="C10" s="17" t="s">
        <v>4</v>
      </c>
      <c r="D10" s="18" t="s">
        <v>6</v>
      </c>
    </row>
    <row r="11" spans="2:4" ht="26" customHeight="1" x14ac:dyDescent="0.25">
      <c r="B11" s="5" t="s">
        <v>432</v>
      </c>
      <c r="C11" s="5" t="s">
        <v>433</v>
      </c>
      <c r="D11" s="6" t="s">
        <v>434</v>
      </c>
    </row>
    <row r="12" spans="2:4" ht="20" customHeight="1" x14ac:dyDescent="0.25">
      <c r="B12" s="4" t="s">
        <v>406</v>
      </c>
      <c r="C12" s="4" t="s">
        <v>406</v>
      </c>
      <c r="D12" s="3" t="s">
        <v>406</v>
      </c>
    </row>
    <row r="13" spans="2:4" ht="19" x14ac:dyDescent="0.25">
      <c r="B13" s="7"/>
      <c r="C13" s="7"/>
      <c r="D13" s="8"/>
    </row>
    <row r="14" spans="2:4" ht="19" x14ac:dyDescent="0.25">
      <c r="B14" s="9" t="s">
        <v>407</v>
      </c>
      <c r="C14" s="9" t="s">
        <v>418</v>
      </c>
      <c r="D14" s="10" t="s">
        <v>425</v>
      </c>
    </row>
    <row r="15" spans="2:4" ht="19" x14ac:dyDescent="0.25">
      <c r="B15" s="9" t="s">
        <v>408</v>
      </c>
      <c r="C15" s="9" t="s">
        <v>419</v>
      </c>
      <c r="D15" s="10" t="s">
        <v>428</v>
      </c>
    </row>
    <row r="16" spans="2:4" ht="19" x14ac:dyDescent="0.25">
      <c r="B16" s="9" t="s">
        <v>409</v>
      </c>
      <c r="C16" s="9" t="s">
        <v>420</v>
      </c>
      <c r="D16" s="10" t="s">
        <v>429</v>
      </c>
    </row>
    <row r="17" spans="2:4" ht="19" x14ac:dyDescent="0.25">
      <c r="B17" s="9" t="s">
        <v>410</v>
      </c>
      <c r="C17" s="9" t="s">
        <v>421</v>
      </c>
      <c r="D17" s="10" t="s">
        <v>430</v>
      </c>
    </row>
    <row r="18" spans="2:4" ht="19" x14ac:dyDescent="0.25">
      <c r="B18" s="9" t="s">
        <v>411</v>
      </c>
      <c r="C18" s="9" t="s">
        <v>422</v>
      </c>
      <c r="D18" s="10" t="s">
        <v>431</v>
      </c>
    </row>
    <row r="19" spans="2:4" ht="19" x14ac:dyDescent="0.25">
      <c r="B19" s="9" t="s">
        <v>412</v>
      </c>
      <c r="C19" s="9" t="s">
        <v>423</v>
      </c>
      <c r="D19" s="10" t="s">
        <v>410</v>
      </c>
    </row>
    <row r="20" spans="2:4" ht="19" x14ac:dyDescent="0.25">
      <c r="B20" s="9" t="s">
        <v>413</v>
      </c>
      <c r="C20" s="9" t="s">
        <v>424</v>
      </c>
      <c r="D20" s="8"/>
    </row>
    <row r="21" spans="2:4" ht="19" x14ac:dyDescent="0.25">
      <c r="B21" s="9" t="s">
        <v>414</v>
      </c>
      <c r="C21" s="9" t="s">
        <v>425</v>
      </c>
      <c r="D21" s="8"/>
    </row>
    <row r="22" spans="2:4" ht="19" x14ac:dyDescent="0.25">
      <c r="B22" s="9" t="s">
        <v>415</v>
      </c>
      <c r="C22" s="9" t="s">
        <v>351</v>
      </c>
      <c r="D22" s="8"/>
    </row>
    <row r="23" spans="2:4" ht="19" x14ac:dyDescent="0.25">
      <c r="B23" s="9" t="s">
        <v>416</v>
      </c>
      <c r="C23" s="9" t="s">
        <v>426</v>
      </c>
      <c r="D23" s="8"/>
    </row>
    <row r="24" spans="2:4" ht="19" x14ac:dyDescent="0.25">
      <c r="B24" s="9" t="s">
        <v>417</v>
      </c>
      <c r="C24" s="9" t="s">
        <v>427</v>
      </c>
      <c r="D24" s="8"/>
    </row>
    <row r="25" spans="2:4" ht="20" thickBot="1" x14ac:dyDescent="0.3">
      <c r="B25" s="11"/>
      <c r="C25" s="11"/>
      <c r="D25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1"/>
  <sheetViews>
    <sheetView workbookViewId="0">
      <selection activeCell="H6" sqref="H6"/>
    </sheetView>
  </sheetViews>
  <sheetFormatPr baseColWidth="10" defaultColWidth="8.83203125" defaultRowHeight="15" x14ac:dyDescent="0.2"/>
  <cols>
    <col min="1" max="1" width="14" bestFit="1" customWidth="1"/>
    <col min="2" max="2" width="21.6640625" bestFit="1" customWidth="1"/>
    <col min="3" max="3" width="24.6640625" bestFit="1" customWidth="1"/>
    <col min="4" max="4" width="26" bestFit="1" customWidth="1"/>
    <col min="5" max="5" width="28.33203125" bestFit="1" customWidth="1"/>
    <col min="6" max="6" width="28.1640625" bestFit="1" customWidth="1"/>
    <col min="7" max="7" width="27.5" bestFit="1" customWidth="1"/>
    <col min="8" max="8" width="28.6640625" bestFit="1" customWidth="1"/>
    <col min="9" max="9" width="21.5" bestFit="1" customWidth="1"/>
    <col min="10" max="10" width="31.33203125" bestFit="1" customWidth="1"/>
    <col min="11" max="11" width="23" bestFit="1" customWidth="1"/>
    <col min="12" max="12" width="22" bestFit="1" customWidth="1"/>
    <col min="13" max="13" width="9" bestFit="1" customWidth="1"/>
    <col min="14" max="14" width="11.1640625" bestFit="1" customWidth="1"/>
  </cols>
  <sheetData>
    <row r="1" spans="1:14" s="20" customFormat="1" ht="19" x14ac:dyDescent="0.25">
      <c r="A1" s="19" t="s">
        <v>8</v>
      </c>
      <c r="B1" s="19" t="s">
        <v>9</v>
      </c>
      <c r="C1" s="19" t="s">
        <v>10</v>
      </c>
      <c r="D1" s="19" t="s">
        <v>11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19" t="s">
        <v>18</v>
      </c>
      <c r="L1" s="19" t="s">
        <v>19</v>
      </c>
      <c r="M1" s="19" t="s">
        <v>20</v>
      </c>
      <c r="N1" s="19" t="s">
        <v>21</v>
      </c>
    </row>
    <row r="2" spans="1:14" x14ac:dyDescent="0.2">
      <c r="A2" t="s">
        <v>22</v>
      </c>
      <c r="B2" t="s">
        <v>23</v>
      </c>
      <c r="C2">
        <v>749.71</v>
      </c>
      <c r="D2">
        <v>11</v>
      </c>
      <c r="E2">
        <v>71.34</v>
      </c>
      <c r="F2">
        <v>46</v>
      </c>
      <c r="G2">
        <v>8.6999999999999993</v>
      </c>
      <c r="H2">
        <v>2</v>
      </c>
      <c r="I2" t="s">
        <v>24</v>
      </c>
      <c r="J2">
        <v>3</v>
      </c>
      <c r="K2">
        <v>63.8</v>
      </c>
      <c r="L2">
        <v>20.9</v>
      </c>
      <c r="M2" t="s">
        <v>25</v>
      </c>
      <c r="N2" t="s">
        <v>26</v>
      </c>
    </row>
    <row r="3" spans="1:14" x14ac:dyDescent="0.2">
      <c r="A3" t="s">
        <v>27</v>
      </c>
      <c r="B3" t="s">
        <v>28</v>
      </c>
      <c r="C3">
        <v>511.7</v>
      </c>
      <c r="D3">
        <v>8</v>
      </c>
      <c r="E3">
        <v>66.36</v>
      </c>
      <c r="F3">
        <v>34</v>
      </c>
      <c r="G3">
        <v>4.3</v>
      </c>
      <c r="H3">
        <v>4</v>
      </c>
      <c r="I3" t="s">
        <v>24</v>
      </c>
      <c r="J3">
        <v>11</v>
      </c>
      <c r="K3">
        <v>41.3</v>
      </c>
      <c r="L3">
        <v>24.3</v>
      </c>
      <c r="M3" t="s">
        <v>29</v>
      </c>
      <c r="N3" t="s">
        <v>30</v>
      </c>
    </row>
    <row r="4" spans="1:14" x14ac:dyDescent="0.2">
      <c r="A4" t="s">
        <v>31</v>
      </c>
      <c r="B4" t="s">
        <v>32</v>
      </c>
      <c r="C4">
        <v>494.82</v>
      </c>
      <c r="D4">
        <v>7</v>
      </c>
      <c r="E4">
        <v>74.430000000000007</v>
      </c>
      <c r="F4">
        <v>28</v>
      </c>
      <c r="G4">
        <v>10.6</v>
      </c>
      <c r="H4">
        <v>2</v>
      </c>
      <c r="I4" t="s">
        <v>33</v>
      </c>
      <c r="J4">
        <v>0</v>
      </c>
      <c r="K4">
        <v>73.3</v>
      </c>
      <c r="L4">
        <v>18.5</v>
      </c>
      <c r="M4" t="s">
        <v>25</v>
      </c>
      <c r="N4" t="s">
        <v>30</v>
      </c>
    </row>
    <row r="5" spans="1:14" x14ac:dyDescent="0.2">
      <c r="A5" t="s">
        <v>34</v>
      </c>
      <c r="B5" t="s">
        <v>35</v>
      </c>
      <c r="C5">
        <v>109.38</v>
      </c>
      <c r="D5">
        <v>2</v>
      </c>
      <c r="E5">
        <v>59.11</v>
      </c>
      <c r="F5">
        <v>165</v>
      </c>
      <c r="G5">
        <v>26.6</v>
      </c>
      <c r="H5">
        <v>2</v>
      </c>
      <c r="I5" t="s">
        <v>33</v>
      </c>
      <c r="J5">
        <v>0</v>
      </c>
      <c r="K5">
        <v>14.4</v>
      </c>
      <c r="L5">
        <v>6</v>
      </c>
      <c r="M5" t="s">
        <v>25</v>
      </c>
      <c r="N5" t="s">
        <v>30</v>
      </c>
    </row>
    <row r="6" spans="1:14" x14ac:dyDescent="0.2">
      <c r="A6" t="s">
        <v>36</v>
      </c>
      <c r="B6" t="s">
        <v>37</v>
      </c>
      <c r="C6">
        <v>289.77999999999997</v>
      </c>
      <c r="D6">
        <v>6</v>
      </c>
      <c r="E6">
        <v>47.67</v>
      </c>
      <c r="F6">
        <v>68</v>
      </c>
      <c r="G6">
        <v>46.9</v>
      </c>
      <c r="H6">
        <v>2</v>
      </c>
      <c r="I6" t="s">
        <v>24</v>
      </c>
      <c r="J6">
        <v>11</v>
      </c>
      <c r="K6">
        <v>30.6</v>
      </c>
      <c r="L6">
        <v>9.9</v>
      </c>
      <c r="M6" t="s">
        <v>25</v>
      </c>
      <c r="N6" t="s">
        <v>30</v>
      </c>
    </row>
    <row r="7" spans="1:14" x14ac:dyDescent="0.2">
      <c r="A7" t="s">
        <v>38</v>
      </c>
      <c r="B7" t="s">
        <v>37</v>
      </c>
      <c r="C7">
        <v>330.78</v>
      </c>
      <c r="D7">
        <v>6</v>
      </c>
      <c r="E7">
        <v>52.13</v>
      </c>
      <c r="F7">
        <v>2</v>
      </c>
      <c r="G7">
        <v>21.5</v>
      </c>
      <c r="H7">
        <v>4</v>
      </c>
      <c r="I7" t="s">
        <v>33</v>
      </c>
      <c r="J7">
        <v>0</v>
      </c>
      <c r="K7">
        <v>23.8</v>
      </c>
      <c r="L7">
        <v>18.100000000000001</v>
      </c>
      <c r="M7" t="s">
        <v>39</v>
      </c>
      <c r="N7" t="s">
        <v>40</v>
      </c>
    </row>
    <row r="8" spans="1:14" x14ac:dyDescent="0.2">
      <c r="A8" t="s">
        <v>41</v>
      </c>
      <c r="B8" t="s">
        <v>37</v>
      </c>
      <c r="C8">
        <v>90.86</v>
      </c>
      <c r="D8">
        <v>2</v>
      </c>
      <c r="E8">
        <v>49.3</v>
      </c>
      <c r="F8">
        <v>34</v>
      </c>
      <c r="G8">
        <v>25.5</v>
      </c>
      <c r="H8">
        <v>3</v>
      </c>
      <c r="I8" t="s">
        <v>33</v>
      </c>
      <c r="J8">
        <v>0</v>
      </c>
      <c r="K8">
        <v>53.2</v>
      </c>
      <c r="L8">
        <v>21.9</v>
      </c>
      <c r="M8" t="s">
        <v>25</v>
      </c>
      <c r="N8" t="s">
        <v>30</v>
      </c>
    </row>
    <row r="9" spans="1:14" x14ac:dyDescent="0.2">
      <c r="A9" t="s">
        <v>42</v>
      </c>
      <c r="B9" t="s">
        <v>32</v>
      </c>
      <c r="C9">
        <v>146.61000000000001</v>
      </c>
      <c r="D9">
        <v>6</v>
      </c>
      <c r="E9">
        <v>25.67</v>
      </c>
      <c r="F9">
        <v>26</v>
      </c>
      <c r="G9">
        <v>45</v>
      </c>
      <c r="H9">
        <v>1</v>
      </c>
      <c r="I9" t="s">
        <v>33</v>
      </c>
      <c r="J9">
        <v>0</v>
      </c>
      <c r="K9">
        <v>35.200000000000003</v>
      </c>
      <c r="L9">
        <v>14</v>
      </c>
      <c r="M9" t="s">
        <v>29</v>
      </c>
      <c r="N9" t="s">
        <v>43</v>
      </c>
    </row>
    <row r="10" spans="1:14" x14ac:dyDescent="0.2">
      <c r="A10" t="s">
        <v>44</v>
      </c>
      <c r="B10" t="s">
        <v>35</v>
      </c>
      <c r="C10">
        <v>812.93</v>
      </c>
      <c r="D10">
        <v>9</v>
      </c>
      <c r="E10">
        <v>85.99</v>
      </c>
      <c r="F10">
        <v>24</v>
      </c>
      <c r="G10">
        <v>17.5</v>
      </c>
      <c r="H10">
        <v>3</v>
      </c>
      <c r="I10" t="s">
        <v>24</v>
      </c>
      <c r="J10">
        <v>13</v>
      </c>
      <c r="K10">
        <v>64.2</v>
      </c>
      <c r="L10">
        <v>13.1</v>
      </c>
      <c r="M10" t="s">
        <v>39</v>
      </c>
      <c r="N10" t="s">
        <v>45</v>
      </c>
    </row>
    <row r="11" spans="1:14" x14ac:dyDescent="0.2">
      <c r="A11" t="s">
        <v>46</v>
      </c>
      <c r="B11" t="s">
        <v>35</v>
      </c>
      <c r="C11">
        <v>390.75</v>
      </c>
      <c r="D11">
        <v>8</v>
      </c>
      <c r="E11">
        <v>52.54</v>
      </c>
      <c r="F11">
        <v>81</v>
      </c>
      <c r="G11">
        <v>50.4</v>
      </c>
      <c r="H11">
        <v>2</v>
      </c>
      <c r="I11" t="s">
        <v>33</v>
      </c>
      <c r="J11">
        <v>0</v>
      </c>
      <c r="K11">
        <v>34.299999999999997</v>
      </c>
      <c r="L11">
        <v>10.8</v>
      </c>
      <c r="M11" t="s">
        <v>47</v>
      </c>
      <c r="N11" t="s">
        <v>43</v>
      </c>
    </row>
    <row r="12" spans="1:14" x14ac:dyDescent="0.2">
      <c r="A12" t="s">
        <v>48</v>
      </c>
      <c r="B12" t="s">
        <v>37</v>
      </c>
      <c r="C12">
        <v>101.84</v>
      </c>
      <c r="D12">
        <v>2</v>
      </c>
      <c r="E12">
        <v>49.19</v>
      </c>
      <c r="F12">
        <v>159</v>
      </c>
      <c r="G12">
        <v>18.8</v>
      </c>
      <c r="H12">
        <v>2</v>
      </c>
      <c r="I12" t="s">
        <v>33</v>
      </c>
      <c r="J12">
        <v>0</v>
      </c>
      <c r="K12">
        <v>17.399999999999999</v>
      </c>
      <c r="L12">
        <v>13.9</v>
      </c>
      <c r="M12" t="s">
        <v>25</v>
      </c>
      <c r="N12" t="s">
        <v>43</v>
      </c>
    </row>
    <row r="13" spans="1:14" x14ac:dyDescent="0.2">
      <c r="A13" t="s">
        <v>49</v>
      </c>
      <c r="B13" t="s">
        <v>28</v>
      </c>
      <c r="C13">
        <v>209</v>
      </c>
      <c r="D13">
        <v>5</v>
      </c>
      <c r="E13">
        <v>42.3</v>
      </c>
      <c r="F13">
        <v>52</v>
      </c>
      <c r="G13">
        <v>49.4</v>
      </c>
      <c r="H13">
        <v>1</v>
      </c>
      <c r="I13" t="s">
        <v>24</v>
      </c>
      <c r="J13">
        <v>9</v>
      </c>
      <c r="K13">
        <v>36.9</v>
      </c>
      <c r="L13">
        <v>13.7</v>
      </c>
      <c r="M13" t="s">
        <v>47</v>
      </c>
      <c r="N13" t="s">
        <v>26</v>
      </c>
    </row>
    <row r="14" spans="1:14" x14ac:dyDescent="0.2">
      <c r="A14" t="s">
        <v>50</v>
      </c>
      <c r="B14" t="s">
        <v>32</v>
      </c>
      <c r="C14">
        <v>128.09</v>
      </c>
      <c r="D14">
        <v>3</v>
      </c>
      <c r="E14">
        <v>40.29</v>
      </c>
      <c r="F14">
        <v>150</v>
      </c>
      <c r="G14">
        <v>7.4</v>
      </c>
      <c r="H14">
        <v>3</v>
      </c>
      <c r="I14" t="s">
        <v>33</v>
      </c>
      <c r="J14">
        <v>0</v>
      </c>
      <c r="K14">
        <v>21.2</v>
      </c>
      <c r="L14">
        <v>10.3</v>
      </c>
      <c r="M14" t="s">
        <v>47</v>
      </c>
      <c r="N14" t="s">
        <v>26</v>
      </c>
    </row>
    <row r="15" spans="1:14" x14ac:dyDescent="0.2">
      <c r="A15" t="s">
        <v>51</v>
      </c>
      <c r="B15" t="s">
        <v>37</v>
      </c>
      <c r="C15">
        <v>261.39999999999998</v>
      </c>
      <c r="D15">
        <v>5</v>
      </c>
      <c r="E15">
        <v>49.07</v>
      </c>
      <c r="F15">
        <v>8</v>
      </c>
      <c r="G15">
        <v>55.8</v>
      </c>
      <c r="H15">
        <v>4</v>
      </c>
      <c r="I15" t="s">
        <v>33</v>
      </c>
      <c r="J15">
        <v>0</v>
      </c>
      <c r="K15">
        <v>51.8</v>
      </c>
      <c r="L15">
        <v>11.6</v>
      </c>
      <c r="M15" t="s">
        <v>25</v>
      </c>
      <c r="N15" t="s">
        <v>40</v>
      </c>
    </row>
    <row r="16" spans="1:14" x14ac:dyDescent="0.2">
      <c r="A16" t="s">
        <v>52</v>
      </c>
      <c r="B16" t="s">
        <v>37</v>
      </c>
      <c r="C16">
        <v>97.02</v>
      </c>
      <c r="D16">
        <v>2</v>
      </c>
      <c r="E16">
        <v>48.4</v>
      </c>
      <c r="F16">
        <v>138</v>
      </c>
      <c r="G16">
        <v>15.3</v>
      </c>
      <c r="H16">
        <v>3</v>
      </c>
      <c r="I16" t="s">
        <v>33</v>
      </c>
      <c r="J16">
        <v>0</v>
      </c>
      <c r="K16">
        <v>20.7</v>
      </c>
      <c r="L16">
        <v>8.1999999999999993</v>
      </c>
      <c r="M16" t="s">
        <v>53</v>
      </c>
      <c r="N16" t="s">
        <v>45</v>
      </c>
    </row>
    <row r="17" spans="1:14" x14ac:dyDescent="0.2">
      <c r="A17" t="s">
        <v>54</v>
      </c>
      <c r="B17" t="s">
        <v>37</v>
      </c>
      <c r="C17">
        <v>209.33</v>
      </c>
      <c r="D17">
        <v>8</v>
      </c>
      <c r="E17">
        <v>28.08</v>
      </c>
      <c r="F17">
        <v>17</v>
      </c>
      <c r="G17">
        <v>43.7</v>
      </c>
      <c r="H17">
        <v>1</v>
      </c>
      <c r="I17" t="s">
        <v>33</v>
      </c>
      <c r="J17">
        <v>0</v>
      </c>
      <c r="K17">
        <v>49.6</v>
      </c>
      <c r="L17">
        <v>3.8</v>
      </c>
      <c r="M17" t="s">
        <v>55</v>
      </c>
      <c r="N17" t="s">
        <v>30</v>
      </c>
    </row>
    <row r="18" spans="1:14" x14ac:dyDescent="0.2">
      <c r="A18" t="s">
        <v>56</v>
      </c>
      <c r="B18" t="s">
        <v>23</v>
      </c>
      <c r="C18">
        <v>220.12</v>
      </c>
      <c r="D18">
        <v>5</v>
      </c>
      <c r="E18">
        <v>42.61</v>
      </c>
      <c r="F18">
        <v>59</v>
      </c>
      <c r="G18">
        <v>32.6</v>
      </c>
      <c r="H18">
        <v>2</v>
      </c>
      <c r="I18" t="s">
        <v>33</v>
      </c>
      <c r="J18">
        <v>0</v>
      </c>
      <c r="K18">
        <v>44.5</v>
      </c>
      <c r="L18">
        <v>4.4000000000000004</v>
      </c>
      <c r="M18" t="s">
        <v>25</v>
      </c>
      <c r="N18" t="s">
        <v>43</v>
      </c>
    </row>
    <row r="19" spans="1:14" x14ac:dyDescent="0.2">
      <c r="A19" t="s">
        <v>57</v>
      </c>
      <c r="B19" t="s">
        <v>58</v>
      </c>
      <c r="C19">
        <v>205.8</v>
      </c>
      <c r="D19">
        <v>4</v>
      </c>
      <c r="E19">
        <v>54.86</v>
      </c>
      <c r="F19">
        <v>72</v>
      </c>
      <c r="G19">
        <v>22.8</v>
      </c>
      <c r="H19">
        <v>5</v>
      </c>
      <c r="I19" t="s">
        <v>33</v>
      </c>
      <c r="J19">
        <v>0</v>
      </c>
      <c r="K19">
        <v>52.3</v>
      </c>
      <c r="L19">
        <v>11.5</v>
      </c>
      <c r="M19" t="s">
        <v>29</v>
      </c>
      <c r="N19" t="s">
        <v>43</v>
      </c>
    </row>
    <row r="20" spans="1:14" x14ac:dyDescent="0.2">
      <c r="A20" t="s">
        <v>59</v>
      </c>
      <c r="B20" t="s">
        <v>23</v>
      </c>
      <c r="C20">
        <v>287.11</v>
      </c>
      <c r="D20">
        <v>5</v>
      </c>
      <c r="E20">
        <v>57.36</v>
      </c>
      <c r="F20">
        <v>48</v>
      </c>
      <c r="G20">
        <v>25.6</v>
      </c>
      <c r="H20">
        <v>5</v>
      </c>
      <c r="I20" t="s">
        <v>24</v>
      </c>
      <c r="J20">
        <v>7</v>
      </c>
      <c r="K20">
        <v>37.700000000000003</v>
      </c>
      <c r="L20">
        <v>12.1</v>
      </c>
      <c r="M20" t="s">
        <v>47</v>
      </c>
      <c r="N20" t="s">
        <v>26</v>
      </c>
    </row>
    <row r="21" spans="1:14" x14ac:dyDescent="0.2">
      <c r="A21" t="s">
        <v>60</v>
      </c>
      <c r="B21" t="s">
        <v>23</v>
      </c>
      <c r="C21">
        <v>667.32</v>
      </c>
      <c r="D21">
        <v>8</v>
      </c>
      <c r="E21">
        <v>81.16</v>
      </c>
      <c r="F21">
        <v>35</v>
      </c>
      <c r="G21">
        <v>14.1</v>
      </c>
      <c r="H21">
        <v>1</v>
      </c>
      <c r="I21" t="s">
        <v>24</v>
      </c>
      <c r="J21">
        <v>8</v>
      </c>
      <c r="K21">
        <v>60.8</v>
      </c>
      <c r="L21">
        <v>11.3</v>
      </c>
      <c r="M21" t="s">
        <v>47</v>
      </c>
      <c r="N21" t="s">
        <v>43</v>
      </c>
    </row>
    <row r="22" spans="1:14" x14ac:dyDescent="0.2">
      <c r="A22" t="s">
        <v>61</v>
      </c>
      <c r="B22" t="s">
        <v>35</v>
      </c>
      <c r="C22">
        <v>320.24</v>
      </c>
      <c r="D22">
        <v>6</v>
      </c>
      <c r="E22">
        <v>52.39</v>
      </c>
      <c r="F22">
        <v>31</v>
      </c>
      <c r="G22">
        <v>45.1</v>
      </c>
      <c r="H22">
        <v>5</v>
      </c>
      <c r="I22" t="s">
        <v>33</v>
      </c>
      <c r="J22">
        <v>0</v>
      </c>
      <c r="K22">
        <v>47.7</v>
      </c>
      <c r="L22">
        <v>23</v>
      </c>
      <c r="M22" t="s">
        <v>25</v>
      </c>
      <c r="N22" t="s">
        <v>30</v>
      </c>
    </row>
    <row r="23" spans="1:14" x14ac:dyDescent="0.2">
      <c r="A23" t="s">
        <v>62</v>
      </c>
      <c r="B23" t="s">
        <v>37</v>
      </c>
      <c r="C23">
        <v>310.07</v>
      </c>
      <c r="D23">
        <v>6</v>
      </c>
      <c r="E23">
        <v>50.41</v>
      </c>
      <c r="F23">
        <v>63</v>
      </c>
      <c r="G23">
        <v>61.3</v>
      </c>
      <c r="H23">
        <v>3</v>
      </c>
      <c r="I23" t="s">
        <v>33</v>
      </c>
      <c r="J23">
        <v>0</v>
      </c>
      <c r="K23">
        <v>26.6</v>
      </c>
      <c r="L23">
        <v>6.9</v>
      </c>
      <c r="M23" t="s">
        <v>25</v>
      </c>
      <c r="N23" t="s">
        <v>30</v>
      </c>
    </row>
    <row r="24" spans="1:14" x14ac:dyDescent="0.2">
      <c r="A24" t="s">
        <v>63</v>
      </c>
      <c r="B24" t="s">
        <v>23</v>
      </c>
      <c r="C24">
        <v>282.70999999999998</v>
      </c>
      <c r="D24">
        <v>5</v>
      </c>
      <c r="E24">
        <v>57.42</v>
      </c>
      <c r="F24">
        <v>40</v>
      </c>
      <c r="G24">
        <v>29.3</v>
      </c>
      <c r="H24">
        <v>5</v>
      </c>
      <c r="I24" t="s">
        <v>33</v>
      </c>
      <c r="J24">
        <v>0</v>
      </c>
      <c r="K24">
        <v>53.6</v>
      </c>
      <c r="L24">
        <v>14.8</v>
      </c>
      <c r="M24" t="s">
        <v>29</v>
      </c>
      <c r="N24" t="s">
        <v>30</v>
      </c>
    </row>
    <row r="25" spans="1:14" x14ac:dyDescent="0.2">
      <c r="A25" t="s">
        <v>64</v>
      </c>
      <c r="B25" t="s">
        <v>23</v>
      </c>
      <c r="C25">
        <v>302.67</v>
      </c>
      <c r="D25">
        <v>7</v>
      </c>
      <c r="E25">
        <v>46.95</v>
      </c>
      <c r="F25">
        <v>47</v>
      </c>
      <c r="G25">
        <v>32</v>
      </c>
      <c r="H25">
        <v>4</v>
      </c>
      <c r="I25" t="s">
        <v>33</v>
      </c>
      <c r="J25">
        <v>0</v>
      </c>
      <c r="K25">
        <v>61.8</v>
      </c>
      <c r="L25">
        <v>13.6</v>
      </c>
      <c r="M25" t="s">
        <v>39</v>
      </c>
      <c r="N25" t="s">
        <v>43</v>
      </c>
    </row>
    <row r="26" spans="1:14" x14ac:dyDescent="0.2">
      <c r="A26" t="s">
        <v>65</v>
      </c>
      <c r="B26" t="s">
        <v>58</v>
      </c>
      <c r="C26">
        <v>97.67</v>
      </c>
      <c r="D26">
        <v>3</v>
      </c>
      <c r="E26">
        <v>33.229999999999997</v>
      </c>
      <c r="F26">
        <v>71</v>
      </c>
      <c r="G26">
        <v>30.7</v>
      </c>
      <c r="H26">
        <v>2</v>
      </c>
      <c r="I26" t="s">
        <v>33</v>
      </c>
      <c r="J26">
        <v>0</v>
      </c>
      <c r="K26">
        <v>22.5</v>
      </c>
      <c r="L26">
        <v>8.8000000000000007</v>
      </c>
      <c r="M26" t="s">
        <v>47</v>
      </c>
      <c r="N26" t="s">
        <v>40</v>
      </c>
    </row>
    <row r="27" spans="1:14" x14ac:dyDescent="0.2">
      <c r="A27" t="s">
        <v>66</v>
      </c>
      <c r="B27" t="s">
        <v>32</v>
      </c>
      <c r="C27">
        <v>880.14</v>
      </c>
      <c r="D27">
        <v>11</v>
      </c>
      <c r="E27">
        <v>82.1</v>
      </c>
      <c r="F27">
        <v>51</v>
      </c>
      <c r="G27">
        <v>7.9</v>
      </c>
      <c r="H27">
        <v>4</v>
      </c>
      <c r="I27" t="s">
        <v>24</v>
      </c>
      <c r="J27">
        <v>10</v>
      </c>
      <c r="K27">
        <v>50.5</v>
      </c>
      <c r="L27">
        <v>15.9</v>
      </c>
      <c r="M27" t="s">
        <v>29</v>
      </c>
      <c r="N27" t="s">
        <v>30</v>
      </c>
    </row>
    <row r="28" spans="1:14" x14ac:dyDescent="0.2">
      <c r="A28" t="s">
        <v>67</v>
      </c>
      <c r="B28" t="s">
        <v>37</v>
      </c>
      <c r="C28">
        <v>92.42</v>
      </c>
      <c r="D28">
        <v>3</v>
      </c>
      <c r="E28">
        <v>28.84</v>
      </c>
      <c r="F28">
        <v>88</v>
      </c>
      <c r="G28">
        <v>60.3</v>
      </c>
      <c r="H28">
        <v>4</v>
      </c>
      <c r="I28" t="s">
        <v>33</v>
      </c>
      <c r="J28">
        <v>0</v>
      </c>
      <c r="K28">
        <v>43.6</v>
      </c>
      <c r="L28">
        <v>9</v>
      </c>
      <c r="M28" t="s">
        <v>39</v>
      </c>
      <c r="N28" t="s">
        <v>30</v>
      </c>
    </row>
    <row r="29" spans="1:14" x14ac:dyDescent="0.2">
      <c r="A29" t="s">
        <v>68</v>
      </c>
      <c r="B29" t="s">
        <v>58</v>
      </c>
      <c r="C29">
        <v>138.72</v>
      </c>
      <c r="D29">
        <v>3</v>
      </c>
      <c r="E29">
        <v>45.95</v>
      </c>
      <c r="F29">
        <v>63</v>
      </c>
      <c r="G29">
        <v>19.2</v>
      </c>
      <c r="H29">
        <v>1</v>
      </c>
      <c r="I29" t="s">
        <v>33</v>
      </c>
      <c r="J29">
        <v>0</v>
      </c>
      <c r="K29">
        <v>29.8</v>
      </c>
      <c r="L29">
        <v>3.1</v>
      </c>
      <c r="M29" t="s">
        <v>47</v>
      </c>
      <c r="N29" t="s">
        <v>30</v>
      </c>
    </row>
    <row r="30" spans="1:14" x14ac:dyDescent="0.2">
      <c r="A30" t="s">
        <v>69</v>
      </c>
      <c r="B30" t="s">
        <v>35</v>
      </c>
      <c r="C30">
        <v>108.9</v>
      </c>
      <c r="D30">
        <v>3</v>
      </c>
      <c r="E30">
        <v>36.15</v>
      </c>
      <c r="F30">
        <v>182</v>
      </c>
      <c r="G30">
        <v>12.1</v>
      </c>
      <c r="H30">
        <v>1</v>
      </c>
      <c r="I30" t="s">
        <v>33</v>
      </c>
      <c r="J30">
        <v>0</v>
      </c>
      <c r="K30">
        <v>20.2</v>
      </c>
      <c r="L30">
        <v>2.1</v>
      </c>
      <c r="M30" t="s">
        <v>25</v>
      </c>
      <c r="N30" t="s">
        <v>43</v>
      </c>
    </row>
    <row r="31" spans="1:14" x14ac:dyDescent="0.2">
      <c r="A31" t="s">
        <v>70</v>
      </c>
      <c r="B31" t="s">
        <v>37</v>
      </c>
      <c r="C31">
        <v>598.65</v>
      </c>
      <c r="D31">
        <v>9</v>
      </c>
      <c r="E31">
        <v>65.989999999999995</v>
      </c>
      <c r="F31">
        <v>4</v>
      </c>
      <c r="G31">
        <v>13.9</v>
      </c>
      <c r="H31">
        <v>4</v>
      </c>
      <c r="I31" t="s">
        <v>33</v>
      </c>
      <c r="J31">
        <v>0</v>
      </c>
      <c r="K31">
        <v>72.8</v>
      </c>
      <c r="L31">
        <v>15.6</v>
      </c>
      <c r="M31" t="s">
        <v>29</v>
      </c>
      <c r="N31" t="s">
        <v>43</v>
      </c>
    </row>
    <row r="32" spans="1:14" x14ac:dyDescent="0.2">
      <c r="A32" t="s">
        <v>71</v>
      </c>
      <c r="B32" t="s">
        <v>35</v>
      </c>
      <c r="C32">
        <v>533.94000000000005</v>
      </c>
      <c r="D32">
        <v>8</v>
      </c>
      <c r="E32">
        <v>67.709999999999994</v>
      </c>
      <c r="F32">
        <v>30</v>
      </c>
      <c r="G32">
        <v>12.7</v>
      </c>
      <c r="H32">
        <v>4</v>
      </c>
      <c r="I32" t="s">
        <v>24</v>
      </c>
      <c r="J32">
        <v>12</v>
      </c>
      <c r="K32">
        <v>62</v>
      </c>
      <c r="L32">
        <v>9.5</v>
      </c>
      <c r="M32" t="s">
        <v>47</v>
      </c>
      <c r="N32" t="s">
        <v>43</v>
      </c>
    </row>
    <row r="33" spans="1:14" x14ac:dyDescent="0.2">
      <c r="A33" t="s">
        <v>72</v>
      </c>
      <c r="B33" t="s">
        <v>37</v>
      </c>
      <c r="C33">
        <v>102.73</v>
      </c>
      <c r="D33">
        <v>2</v>
      </c>
      <c r="E33">
        <v>51.76</v>
      </c>
      <c r="F33">
        <v>51</v>
      </c>
      <c r="G33">
        <v>18.8</v>
      </c>
      <c r="H33">
        <v>4</v>
      </c>
      <c r="I33" t="s">
        <v>33</v>
      </c>
      <c r="J33">
        <v>0</v>
      </c>
      <c r="K33">
        <v>60.5</v>
      </c>
      <c r="L33">
        <v>14.2</v>
      </c>
      <c r="M33" t="s">
        <v>53</v>
      </c>
      <c r="N33" t="s">
        <v>45</v>
      </c>
    </row>
    <row r="34" spans="1:14" x14ac:dyDescent="0.2">
      <c r="A34" t="s">
        <v>73</v>
      </c>
      <c r="B34" t="s">
        <v>37</v>
      </c>
      <c r="C34">
        <v>139.46</v>
      </c>
      <c r="D34">
        <v>3</v>
      </c>
      <c r="E34">
        <v>47.31</v>
      </c>
      <c r="F34">
        <v>46</v>
      </c>
      <c r="G34">
        <v>29.1</v>
      </c>
      <c r="H34">
        <v>5</v>
      </c>
      <c r="I34" t="s">
        <v>24</v>
      </c>
      <c r="J34">
        <v>11</v>
      </c>
      <c r="K34">
        <v>64.2</v>
      </c>
      <c r="L34">
        <v>5.3</v>
      </c>
      <c r="M34" t="s">
        <v>39</v>
      </c>
      <c r="N34" t="s">
        <v>26</v>
      </c>
    </row>
    <row r="35" spans="1:14" x14ac:dyDescent="0.2">
      <c r="A35" t="s">
        <v>74</v>
      </c>
      <c r="B35" t="s">
        <v>28</v>
      </c>
      <c r="C35">
        <v>267.24</v>
      </c>
      <c r="D35">
        <v>6</v>
      </c>
      <c r="E35">
        <v>41.29</v>
      </c>
      <c r="F35">
        <v>23</v>
      </c>
      <c r="G35">
        <v>79</v>
      </c>
      <c r="H35">
        <v>4</v>
      </c>
      <c r="I35" t="s">
        <v>33</v>
      </c>
      <c r="J35">
        <v>0</v>
      </c>
      <c r="K35">
        <v>47.8</v>
      </c>
      <c r="L35">
        <v>14.4</v>
      </c>
      <c r="M35" t="s">
        <v>39</v>
      </c>
      <c r="N35" t="s">
        <v>26</v>
      </c>
    </row>
    <row r="36" spans="1:14" x14ac:dyDescent="0.2">
      <c r="A36" t="s">
        <v>75</v>
      </c>
      <c r="B36" t="s">
        <v>28</v>
      </c>
      <c r="C36">
        <v>796.98</v>
      </c>
      <c r="D36">
        <v>9</v>
      </c>
      <c r="E36">
        <v>88.28</v>
      </c>
      <c r="F36">
        <v>21</v>
      </c>
      <c r="G36">
        <v>9.6999999999999993</v>
      </c>
      <c r="H36">
        <v>3</v>
      </c>
      <c r="I36" t="s">
        <v>24</v>
      </c>
      <c r="J36">
        <v>7</v>
      </c>
      <c r="K36">
        <v>49</v>
      </c>
      <c r="L36">
        <v>15</v>
      </c>
      <c r="M36" t="s">
        <v>25</v>
      </c>
      <c r="N36" t="s">
        <v>26</v>
      </c>
    </row>
    <row r="37" spans="1:14" x14ac:dyDescent="0.2">
      <c r="A37" t="s">
        <v>76</v>
      </c>
      <c r="B37" t="s">
        <v>32</v>
      </c>
      <c r="C37">
        <v>183.86</v>
      </c>
      <c r="D37">
        <v>6</v>
      </c>
      <c r="E37">
        <v>29.55</v>
      </c>
      <c r="F37">
        <v>56</v>
      </c>
      <c r="G37">
        <v>52</v>
      </c>
      <c r="H37">
        <v>1</v>
      </c>
      <c r="I37" t="s">
        <v>33</v>
      </c>
      <c r="J37">
        <v>0</v>
      </c>
      <c r="K37">
        <v>41.7</v>
      </c>
      <c r="L37">
        <v>12.8</v>
      </c>
      <c r="M37" t="s">
        <v>39</v>
      </c>
      <c r="N37" t="s">
        <v>26</v>
      </c>
    </row>
    <row r="38" spans="1:14" x14ac:dyDescent="0.2">
      <c r="A38" t="s">
        <v>77</v>
      </c>
      <c r="B38" t="s">
        <v>23</v>
      </c>
      <c r="C38">
        <v>708.78</v>
      </c>
      <c r="D38">
        <v>11</v>
      </c>
      <c r="E38">
        <v>64.95</v>
      </c>
      <c r="F38">
        <v>30</v>
      </c>
      <c r="G38">
        <v>11.7</v>
      </c>
      <c r="H38">
        <v>4</v>
      </c>
      <c r="I38" t="s">
        <v>24</v>
      </c>
      <c r="J38">
        <v>8</v>
      </c>
      <c r="K38">
        <v>63.6</v>
      </c>
      <c r="L38">
        <v>11.4</v>
      </c>
      <c r="M38" t="s">
        <v>39</v>
      </c>
      <c r="N38" t="s">
        <v>45</v>
      </c>
    </row>
    <row r="39" spans="1:14" x14ac:dyDescent="0.2">
      <c r="A39" t="s">
        <v>78</v>
      </c>
      <c r="B39" t="s">
        <v>37</v>
      </c>
      <c r="C39">
        <v>242.61</v>
      </c>
      <c r="D39">
        <v>5</v>
      </c>
      <c r="E39">
        <v>51.38</v>
      </c>
      <c r="F39">
        <v>54</v>
      </c>
      <c r="G39">
        <v>38.4</v>
      </c>
      <c r="H39">
        <v>5</v>
      </c>
      <c r="I39" t="s">
        <v>33</v>
      </c>
      <c r="J39">
        <v>0</v>
      </c>
      <c r="K39">
        <v>42.7</v>
      </c>
      <c r="L39">
        <v>6</v>
      </c>
      <c r="M39" t="s">
        <v>29</v>
      </c>
      <c r="N39" t="s">
        <v>30</v>
      </c>
    </row>
    <row r="40" spans="1:14" x14ac:dyDescent="0.2">
      <c r="A40" t="s">
        <v>79</v>
      </c>
      <c r="B40" t="s">
        <v>35</v>
      </c>
      <c r="C40">
        <v>758.69</v>
      </c>
      <c r="D40">
        <v>10</v>
      </c>
      <c r="E40">
        <v>73.42</v>
      </c>
      <c r="F40">
        <v>28</v>
      </c>
      <c r="G40">
        <v>25.9</v>
      </c>
      <c r="H40">
        <v>4</v>
      </c>
      <c r="I40" t="s">
        <v>24</v>
      </c>
      <c r="J40">
        <v>10</v>
      </c>
      <c r="K40">
        <v>62</v>
      </c>
      <c r="L40">
        <v>18.899999999999999</v>
      </c>
      <c r="M40" t="s">
        <v>29</v>
      </c>
      <c r="N40" t="s">
        <v>43</v>
      </c>
    </row>
    <row r="41" spans="1:14" x14ac:dyDescent="0.2">
      <c r="A41" t="s">
        <v>80</v>
      </c>
      <c r="B41" t="s">
        <v>58</v>
      </c>
      <c r="C41">
        <v>78.010000000000005</v>
      </c>
      <c r="D41">
        <v>2</v>
      </c>
      <c r="E41">
        <v>39.03</v>
      </c>
      <c r="F41">
        <v>162</v>
      </c>
      <c r="G41">
        <v>3.6</v>
      </c>
      <c r="H41">
        <v>1</v>
      </c>
      <c r="I41" t="s">
        <v>33</v>
      </c>
      <c r="J41">
        <v>0</v>
      </c>
      <c r="K41">
        <v>4.8</v>
      </c>
      <c r="L41">
        <v>7.5</v>
      </c>
      <c r="M41" t="s">
        <v>29</v>
      </c>
      <c r="N41" t="s">
        <v>26</v>
      </c>
    </row>
    <row r="42" spans="1:14" x14ac:dyDescent="0.2">
      <c r="A42" t="s">
        <v>81</v>
      </c>
      <c r="B42" t="s">
        <v>37</v>
      </c>
      <c r="C42">
        <v>247.93</v>
      </c>
      <c r="D42">
        <v>6</v>
      </c>
      <c r="E42">
        <v>42.65</v>
      </c>
      <c r="F42">
        <v>58</v>
      </c>
      <c r="G42">
        <v>46.8</v>
      </c>
      <c r="H42">
        <v>2</v>
      </c>
      <c r="I42" t="s">
        <v>33</v>
      </c>
      <c r="J42">
        <v>0</v>
      </c>
      <c r="K42">
        <v>43.7</v>
      </c>
      <c r="L42">
        <v>12.4</v>
      </c>
      <c r="M42" t="s">
        <v>25</v>
      </c>
      <c r="N42" t="s">
        <v>43</v>
      </c>
    </row>
    <row r="43" spans="1:14" x14ac:dyDescent="0.2">
      <c r="A43" t="s">
        <v>82</v>
      </c>
      <c r="B43" t="s">
        <v>58</v>
      </c>
      <c r="C43">
        <v>97.18</v>
      </c>
      <c r="D43">
        <v>2</v>
      </c>
      <c r="E43">
        <v>45.93</v>
      </c>
      <c r="F43">
        <v>99</v>
      </c>
      <c r="G43">
        <v>27.4</v>
      </c>
      <c r="H43">
        <v>2</v>
      </c>
      <c r="I43" t="s">
        <v>33</v>
      </c>
      <c r="J43">
        <v>0</v>
      </c>
      <c r="K43">
        <v>21.9</v>
      </c>
      <c r="L43">
        <v>4.3</v>
      </c>
      <c r="M43" t="s">
        <v>29</v>
      </c>
      <c r="N43" t="s">
        <v>43</v>
      </c>
    </row>
    <row r="44" spans="1:14" x14ac:dyDescent="0.2">
      <c r="A44" t="s">
        <v>83</v>
      </c>
      <c r="B44" t="s">
        <v>37</v>
      </c>
      <c r="C44">
        <v>154.81</v>
      </c>
      <c r="D44">
        <v>3</v>
      </c>
      <c r="E44">
        <v>54.7</v>
      </c>
      <c r="F44">
        <v>202</v>
      </c>
      <c r="G44">
        <v>30.2</v>
      </c>
      <c r="H44">
        <v>2</v>
      </c>
      <c r="I44" t="s">
        <v>33</v>
      </c>
      <c r="J44">
        <v>0</v>
      </c>
      <c r="K44">
        <v>2</v>
      </c>
      <c r="L44">
        <v>5.2</v>
      </c>
      <c r="M44" t="s">
        <v>25</v>
      </c>
      <c r="N44" t="s">
        <v>43</v>
      </c>
    </row>
    <row r="45" spans="1:14" x14ac:dyDescent="0.2">
      <c r="A45" t="s">
        <v>84</v>
      </c>
      <c r="B45" t="s">
        <v>28</v>
      </c>
      <c r="C45">
        <v>158.29</v>
      </c>
      <c r="D45">
        <v>3</v>
      </c>
      <c r="E45">
        <v>56.32</v>
      </c>
      <c r="F45">
        <v>44</v>
      </c>
      <c r="G45">
        <v>26.6</v>
      </c>
      <c r="H45">
        <v>4</v>
      </c>
      <c r="I45" t="s">
        <v>24</v>
      </c>
      <c r="J45">
        <v>9</v>
      </c>
      <c r="K45">
        <v>19.100000000000001</v>
      </c>
      <c r="L45">
        <v>14.5</v>
      </c>
      <c r="M45" t="s">
        <v>29</v>
      </c>
      <c r="N45" t="s">
        <v>43</v>
      </c>
    </row>
    <row r="46" spans="1:14" x14ac:dyDescent="0.2">
      <c r="A46" t="s">
        <v>85</v>
      </c>
      <c r="B46" t="s">
        <v>23</v>
      </c>
      <c r="C46">
        <v>366.37</v>
      </c>
      <c r="D46">
        <v>5</v>
      </c>
      <c r="E46">
        <v>78</v>
      </c>
      <c r="F46">
        <v>38</v>
      </c>
      <c r="G46">
        <v>21.2</v>
      </c>
      <c r="H46">
        <v>3</v>
      </c>
      <c r="I46" t="s">
        <v>24</v>
      </c>
      <c r="J46">
        <v>17</v>
      </c>
      <c r="K46">
        <v>49.2</v>
      </c>
      <c r="L46">
        <v>13.9</v>
      </c>
      <c r="M46" t="s">
        <v>25</v>
      </c>
      <c r="N46" t="s">
        <v>43</v>
      </c>
    </row>
    <row r="47" spans="1:14" x14ac:dyDescent="0.2">
      <c r="A47" t="s">
        <v>86</v>
      </c>
      <c r="B47" t="s">
        <v>35</v>
      </c>
      <c r="C47">
        <v>422.06</v>
      </c>
      <c r="D47">
        <v>6</v>
      </c>
      <c r="E47">
        <v>68.98</v>
      </c>
      <c r="F47">
        <v>26</v>
      </c>
      <c r="G47">
        <v>9.6999999999999993</v>
      </c>
      <c r="H47">
        <v>4</v>
      </c>
      <c r="I47" t="s">
        <v>33</v>
      </c>
      <c r="J47">
        <v>0</v>
      </c>
      <c r="K47">
        <v>56</v>
      </c>
      <c r="L47">
        <v>8.3000000000000007</v>
      </c>
      <c r="M47" t="s">
        <v>53</v>
      </c>
      <c r="N47" t="s">
        <v>30</v>
      </c>
    </row>
    <row r="48" spans="1:14" x14ac:dyDescent="0.2">
      <c r="A48" t="s">
        <v>87</v>
      </c>
      <c r="B48" t="s">
        <v>23</v>
      </c>
      <c r="C48">
        <v>385.43</v>
      </c>
      <c r="D48">
        <v>9</v>
      </c>
      <c r="E48">
        <v>46.46</v>
      </c>
      <c r="F48">
        <v>7</v>
      </c>
      <c r="G48">
        <v>17.600000000000001</v>
      </c>
      <c r="H48">
        <v>3</v>
      </c>
      <c r="I48" t="s">
        <v>24</v>
      </c>
      <c r="J48">
        <v>16</v>
      </c>
      <c r="K48">
        <v>52.2</v>
      </c>
      <c r="L48">
        <v>20.399999999999999</v>
      </c>
      <c r="M48" t="s">
        <v>47</v>
      </c>
      <c r="N48" t="s">
        <v>30</v>
      </c>
    </row>
    <row r="49" spans="1:14" x14ac:dyDescent="0.2">
      <c r="A49" t="s">
        <v>88</v>
      </c>
      <c r="B49" t="s">
        <v>58</v>
      </c>
      <c r="C49">
        <v>319.3</v>
      </c>
      <c r="D49">
        <v>6</v>
      </c>
      <c r="E49">
        <v>52.81</v>
      </c>
      <c r="F49">
        <v>25</v>
      </c>
      <c r="G49">
        <v>0.1</v>
      </c>
      <c r="H49">
        <v>5</v>
      </c>
      <c r="I49" t="s">
        <v>33</v>
      </c>
      <c r="J49">
        <v>0</v>
      </c>
      <c r="K49">
        <v>38.1</v>
      </c>
      <c r="L49">
        <v>12.8</v>
      </c>
      <c r="M49" t="s">
        <v>47</v>
      </c>
      <c r="N49" t="s">
        <v>26</v>
      </c>
    </row>
    <row r="50" spans="1:14" x14ac:dyDescent="0.2">
      <c r="A50" t="s">
        <v>89</v>
      </c>
      <c r="B50" t="s">
        <v>58</v>
      </c>
      <c r="C50">
        <v>389.33</v>
      </c>
      <c r="D50">
        <v>7</v>
      </c>
      <c r="E50">
        <v>56.57</v>
      </c>
      <c r="F50">
        <v>18</v>
      </c>
      <c r="G50">
        <v>25.7</v>
      </c>
      <c r="H50">
        <v>4</v>
      </c>
      <c r="I50" t="s">
        <v>33</v>
      </c>
      <c r="J50">
        <v>0</v>
      </c>
      <c r="K50">
        <v>39.200000000000003</v>
      </c>
      <c r="L50">
        <v>1.5</v>
      </c>
      <c r="M50" t="s">
        <v>47</v>
      </c>
      <c r="N50" t="s">
        <v>43</v>
      </c>
    </row>
    <row r="51" spans="1:14" x14ac:dyDescent="0.2">
      <c r="A51" t="s">
        <v>90</v>
      </c>
      <c r="B51" t="s">
        <v>37</v>
      </c>
      <c r="C51">
        <v>153.22999999999999</v>
      </c>
      <c r="D51">
        <v>2</v>
      </c>
      <c r="E51">
        <v>72.650000000000006</v>
      </c>
      <c r="F51">
        <v>109</v>
      </c>
      <c r="G51">
        <v>19.899999999999999</v>
      </c>
      <c r="H51">
        <v>3</v>
      </c>
      <c r="I51" t="s">
        <v>33</v>
      </c>
      <c r="J51">
        <v>0</v>
      </c>
      <c r="K51">
        <v>9.1999999999999993</v>
      </c>
      <c r="L51">
        <v>3.8</v>
      </c>
      <c r="M51" t="s">
        <v>39</v>
      </c>
      <c r="N51" t="s">
        <v>30</v>
      </c>
    </row>
    <row r="52" spans="1:14" x14ac:dyDescent="0.2">
      <c r="A52" t="s">
        <v>91</v>
      </c>
      <c r="B52" t="s">
        <v>28</v>
      </c>
      <c r="C52">
        <v>247.72</v>
      </c>
      <c r="D52">
        <v>5</v>
      </c>
      <c r="E52">
        <v>47.73</v>
      </c>
      <c r="F52">
        <v>153</v>
      </c>
      <c r="G52">
        <v>29.4</v>
      </c>
      <c r="H52">
        <v>3</v>
      </c>
      <c r="I52" t="s">
        <v>24</v>
      </c>
      <c r="J52">
        <v>6</v>
      </c>
      <c r="K52">
        <v>12.5</v>
      </c>
      <c r="L52">
        <v>5.2</v>
      </c>
      <c r="M52" t="s">
        <v>25</v>
      </c>
      <c r="N52" t="s">
        <v>30</v>
      </c>
    </row>
    <row r="53" spans="1:14" x14ac:dyDescent="0.2">
      <c r="A53" t="s">
        <v>92</v>
      </c>
      <c r="B53" t="s">
        <v>32</v>
      </c>
      <c r="C53">
        <v>268.93</v>
      </c>
      <c r="D53">
        <v>5</v>
      </c>
      <c r="E53">
        <v>56.64</v>
      </c>
      <c r="F53">
        <v>148</v>
      </c>
      <c r="G53">
        <v>18.3</v>
      </c>
      <c r="H53">
        <v>1</v>
      </c>
      <c r="I53" t="s">
        <v>33</v>
      </c>
      <c r="J53">
        <v>0</v>
      </c>
      <c r="K53">
        <v>14.2</v>
      </c>
      <c r="L53">
        <v>7</v>
      </c>
      <c r="M53" t="s">
        <v>39</v>
      </c>
      <c r="N53" t="s">
        <v>45</v>
      </c>
    </row>
    <row r="54" spans="1:14" x14ac:dyDescent="0.2">
      <c r="A54" t="s">
        <v>93</v>
      </c>
      <c r="B54" t="s">
        <v>28</v>
      </c>
      <c r="C54">
        <v>875.42</v>
      </c>
      <c r="D54">
        <v>10</v>
      </c>
      <c r="E54">
        <v>83.86</v>
      </c>
      <c r="F54">
        <v>35</v>
      </c>
      <c r="G54">
        <v>16.3</v>
      </c>
      <c r="H54">
        <v>3</v>
      </c>
      <c r="I54" t="s">
        <v>24</v>
      </c>
      <c r="J54">
        <v>6</v>
      </c>
      <c r="K54">
        <v>50</v>
      </c>
      <c r="L54">
        <v>17.399999999999999</v>
      </c>
      <c r="M54" t="s">
        <v>47</v>
      </c>
      <c r="N54" t="s">
        <v>30</v>
      </c>
    </row>
    <row r="55" spans="1:14" x14ac:dyDescent="0.2">
      <c r="A55" t="s">
        <v>94</v>
      </c>
      <c r="B55" t="s">
        <v>32</v>
      </c>
      <c r="C55">
        <v>193.7</v>
      </c>
      <c r="D55">
        <v>3</v>
      </c>
      <c r="E55">
        <v>62.1</v>
      </c>
      <c r="F55">
        <v>23</v>
      </c>
      <c r="G55">
        <v>47.7</v>
      </c>
      <c r="H55">
        <v>5</v>
      </c>
      <c r="I55" t="s">
        <v>33</v>
      </c>
      <c r="J55">
        <v>0</v>
      </c>
      <c r="K55">
        <v>62.6</v>
      </c>
      <c r="L55">
        <v>22</v>
      </c>
      <c r="M55" t="s">
        <v>47</v>
      </c>
      <c r="N55" t="s">
        <v>43</v>
      </c>
    </row>
    <row r="56" spans="1:14" x14ac:dyDescent="0.2">
      <c r="A56" t="s">
        <v>95</v>
      </c>
      <c r="B56" t="s">
        <v>35</v>
      </c>
      <c r="C56">
        <v>339.37</v>
      </c>
      <c r="D56">
        <v>7</v>
      </c>
      <c r="E56">
        <v>50.58</v>
      </c>
      <c r="F56">
        <v>23</v>
      </c>
      <c r="G56">
        <v>43.6</v>
      </c>
      <c r="H56">
        <v>1</v>
      </c>
      <c r="I56" t="s">
        <v>33</v>
      </c>
      <c r="J56">
        <v>0</v>
      </c>
      <c r="K56">
        <v>18.3</v>
      </c>
      <c r="L56">
        <v>12.3</v>
      </c>
      <c r="M56" t="s">
        <v>39</v>
      </c>
      <c r="N56" t="s">
        <v>26</v>
      </c>
    </row>
    <row r="57" spans="1:14" x14ac:dyDescent="0.2">
      <c r="A57" t="s">
        <v>96</v>
      </c>
      <c r="B57" t="s">
        <v>28</v>
      </c>
      <c r="C57">
        <v>254.76</v>
      </c>
      <c r="D57">
        <v>6</v>
      </c>
      <c r="E57">
        <v>40.229999999999997</v>
      </c>
      <c r="F57">
        <v>46</v>
      </c>
      <c r="G57">
        <v>44.7</v>
      </c>
      <c r="H57">
        <v>3</v>
      </c>
      <c r="I57" t="s">
        <v>33</v>
      </c>
      <c r="J57">
        <v>0</v>
      </c>
      <c r="K57">
        <v>41</v>
      </c>
      <c r="L57">
        <v>11.1</v>
      </c>
      <c r="M57" t="s">
        <v>25</v>
      </c>
      <c r="N57" t="s">
        <v>30</v>
      </c>
    </row>
    <row r="58" spans="1:14" x14ac:dyDescent="0.2">
      <c r="A58" t="s">
        <v>97</v>
      </c>
      <c r="B58" t="s">
        <v>37</v>
      </c>
      <c r="C58">
        <v>222.9</v>
      </c>
      <c r="D58">
        <v>5</v>
      </c>
      <c r="E58">
        <v>44.26</v>
      </c>
      <c r="F58">
        <v>72</v>
      </c>
      <c r="G58">
        <v>45</v>
      </c>
      <c r="H58">
        <v>3</v>
      </c>
      <c r="I58" t="s">
        <v>33</v>
      </c>
      <c r="J58">
        <v>0</v>
      </c>
      <c r="K58">
        <v>45.3</v>
      </c>
      <c r="L58">
        <v>5.8</v>
      </c>
      <c r="M58" t="s">
        <v>29</v>
      </c>
      <c r="N58" t="s">
        <v>26</v>
      </c>
    </row>
    <row r="59" spans="1:14" x14ac:dyDescent="0.2">
      <c r="A59" t="s">
        <v>98</v>
      </c>
      <c r="B59" t="s">
        <v>37</v>
      </c>
      <c r="C59">
        <v>684.89</v>
      </c>
      <c r="D59">
        <v>9</v>
      </c>
      <c r="E59">
        <v>76</v>
      </c>
      <c r="F59">
        <v>17</v>
      </c>
      <c r="G59">
        <v>8.1</v>
      </c>
      <c r="H59">
        <v>4</v>
      </c>
      <c r="I59" t="s">
        <v>24</v>
      </c>
      <c r="J59">
        <v>13</v>
      </c>
      <c r="K59">
        <v>64.7</v>
      </c>
      <c r="L59">
        <v>27.5</v>
      </c>
      <c r="M59" t="s">
        <v>29</v>
      </c>
      <c r="N59" t="s">
        <v>30</v>
      </c>
    </row>
    <row r="60" spans="1:14" x14ac:dyDescent="0.2">
      <c r="A60" t="s">
        <v>99</v>
      </c>
      <c r="B60" t="s">
        <v>37</v>
      </c>
      <c r="C60">
        <v>745.08</v>
      </c>
      <c r="D60">
        <v>10</v>
      </c>
      <c r="E60">
        <v>77.66</v>
      </c>
      <c r="F60">
        <v>33</v>
      </c>
      <c r="G60">
        <v>1.4</v>
      </c>
      <c r="H60">
        <v>4</v>
      </c>
      <c r="I60" t="s">
        <v>24</v>
      </c>
      <c r="J60">
        <v>9</v>
      </c>
      <c r="K60">
        <v>61.7</v>
      </c>
      <c r="L60">
        <v>14.7</v>
      </c>
      <c r="M60" t="s">
        <v>47</v>
      </c>
      <c r="N60" t="s">
        <v>40</v>
      </c>
    </row>
    <row r="61" spans="1:14" x14ac:dyDescent="0.2">
      <c r="A61" t="s">
        <v>100</v>
      </c>
      <c r="B61" t="s">
        <v>23</v>
      </c>
      <c r="C61">
        <v>99.74</v>
      </c>
      <c r="D61">
        <v>2</v>
      </c>
      <c r="E61">
        <v>52.49</v>
      </c>
      <c r="F61">
        <v>113</v>
      </c>
      <c r="G61">
        <v>13.5</v>
      </c>
      <c r="H61">
        <v>2</v>
      </c>
      <c r="I61" t="s">
        <v>33</v>
      </c>
      <c r="J61">
        <v>0</v>
      </c>
      <c r="K61">
        <v>27.8</v>
      </c>
      <c r="L61">
        <v>9.3000000000000007</v>
      </c>
      <c r="M61" t="s">
        <v>39</v>
      </c>
      <c r="N61" t="s">
        <v>30</v>
      </c>
    </row>
    <row r="62" spans="1:14" x14ac:dyDescent="0.2">
      <c r="A62" t="s">
        <v>101</v>
      </c>
      <c r="B62" t="s">
        <v>23</v>
      </c>
      <c r="C62">
        <v>622</v>
      </c>
      <c r="D62">
        <v>10</v>
      </c>
      <c r="E62">
        <v>65.900000000000006</v>
      </c>
      <c r="F62">
        <v>24</v>
      </c>
      <c r="G62">
        <v>11.2</v>
      </c>
      <c r="H62">
        <v>3</v>
      </c>
      <c r="I62" t="s">
        <v>33</v>
      </c>
      <c r="J62">
        <v>0</v>
      </c>
      <c r="K62">
        <v>63.8</v>
      </c>
      <c r="L62">
        <v>8.8000000000000007</v>
      </c>
      <c r="M62" t="s">
        <v>29</v>
      </c>
      <c r="N62" t="s">
        <v>43</v>
      </c>
    </row>
    <row r="63" spans="1:14" x14ac:dyDescent="0.2">
      <c r="A63" t="s">
        <v>102</v>
      </c>
      <c r="B63" t="s">
        <v>23</v>
      </c>
      <c r="C63">
        <v>62.78</v>
      </c>
      <c r="D63">
        <v>1</v>
      </c>
      <c r="E63">
        <v>63.67</v>
      </c>
      <c r="F63">
        <v>217</v>
      </c>
      <c r="G63">
        <v>18.3</v>
      </c>
      <c r="H63">
        <v>1</v>
      </c>
      <c r="I63" t="s">
        <v>33</v>
      </c>
      <c r="J63">
        <v>0</v>
      </c>
      <c r="K63">
        <v>8.4</v>
      </c>
      <c r="L63">
        <v>9.4</v>
      </c>
      <c r="M63" t="s">
        <v>55</v>
      </c>
      <c r="N63" t="s">
        <v>30</v>
      </c>
    </row>
    <row r="64" spans="1:14" x14ac:dyDescent="0.2">
      <c r="A64" t="s">
        <v>103</v>
      </c>
      <c r="B64" t="s">
        <v>32</v>
      </c>
      <c r="C64">
        <v>344.11</v>
      </c>
      <c r="D64">
        <v>4</v>
      </c>
      <c r="E64">
        <v>84.63</v>
      </c>
      <c r="F64">
        <v>54</v>
      </c>
      <c r="G64">
        <v>8.6999999999999993</v>
      </c>
      <c r="H64">
        <v>3</v>
      </c>
      <c r="I64" t="s">
        <v>24</v>
      </c>
      <c r="J64">
        <v>12</v>
      </c>
      <c r="K64">
        <v>78.3</v>
      </c>
      <c r="L64">
        <v>25.4</v>
      </c>
      <c r="M64" t="s">
        <v>47</v>
      </c>
      <c r="N64" t="s">
        <v>43</v>
      </c>
    </row>
    <row r="65" spans="1:14" x14ac:dyDescent="0.2">
      <c r="A65" t="s">
        <v>104</v>
      </c>
      <c r="B65" t="s">
        <v>23</v>
      </c>
      <c r="C65">
        <v>386.35</v>
      </c>
      <c r="D65">
        <v>8</v>
      </c>
      <c r="E65">
        <v>46.74</v>
      </c>
      <c r="F65">
        <v>28</v>
      </c>
      <c r="G65">
        <v>57.3</v>
      </c>
      <c r="H65">
        <v>2</v>
      </c>
      <c r="I65" t="s">
        <v>24</v>
      </c>
      <c r="J65">
        <v>5</v>
      </c>
      <c r="K65">
        <v>49.2</v>
      </c>
      <c r="L65">
        <v>7.4</v>
      </c>
      <c r="M65" t="s">
        <v>29</v>
      </c>
      <c r="N65" t="s">
        <v>30</v>
      </c>
    </row>
    <row r="66" spans="1:14" x14ac:dyDescent="0.2">
      <c r="A66" t="s">
        <v>105</v>
      </c>
      <c r="B66" t="s">
        <v>23</v>
      </c>
      <c r="C66">
        <v>335.1</v>
      </c>
      <c r="D66">
        <v>6</v>
      </c>
      <c r="E66">
        <v>53.82</v>
      </c>
      <c r="F66">
        <v>36</v>
      </c>
      <c r="G66">
        <v>34.299999999999997</v>
      </c>
      <c r="H66">
        <v>2</v>
      </c>
      <c r="I66" t="s">
        <v>24</v>
      </c>
      <c r="J66">
        <v>1</v>
      </c>
      <c r="K66">
        <v>42.8</v>
      </c>
      <c r="L66">
        <v>4.5</v>
      </c>
      <c r="M66" t="s">
        <v>25</v>
      </c>
      <c r="N66" t="s">
        <v>40</v>
      </c>
    </row>
    <row r="67" spans="1:14" x14ac:dyDescent="0.2">
      <c r="A67" t="s">
        <v>106</v>
      </c>
      <c r="B67" t="s">
        <v>58</v>
      </c>
      <c r="C67">
        <v>172.89</v>
      </c>
      <c r="D67">
        <v>3</v>
      </c>
      <c r="E67">
        <v>56.83</v>
      </c>
      <c r="F67">
        <v>51</v>
      </c>
      <c r="G67">
        <v>62.7</v>
      </c>
      <c r="H67">
        <v>2</v>
      </c>
      <c r="I67" t="s">
        <v>33</v>
      </c>
      <c r="J67">
        <v>0</v>
      </c>
      <c r="K67">
        <v>28.4</v>
      </c>
      <c r="L67">
        <v>14.8</v>
      </c>
      <c r="M67" t="s">
        <v>25</v>
      </c>
      <c r="N67" t="s">
        <v>43</v>
      </c>
    </row>
    <row r="68" spans="1:14" x14ac:dyDescent="0.2">
      <c r="A68" t="s">
        <v>107</v>
      </c>
      <c r="B68" t="s">
        <v>37</v>
      </c>
      <c r="C68">
        <v>51.82</v>
      </c>
      <c r="D68">
        <v>1</v>
      </c>
      <c r="E68">
        <v>49.13</v>
      </c>
      <c r="F68">
        <v>146</v>
      </c>
      <c r="G68">
        <v>10.8</v>
      </c>
      <c r="H68">
        <v>1</v>
      </c>
      <c r="I68" t="s">
        <v>33</v>
      </c>
      <c r="J68">
        <v>0</v>
      </c>
      <c r="K68">
        <v>30.3</v>
      </c>
      <c r="L68">
        <v>4.4000000000000004</v>
      </c>
      <c r="M68" t="s">
        <v>29</v>
      </c>
      <c r="N68" t="s">
        <v>40</v>
      </c>
    </row>
    <row r="69" spans="1:14" x14ac:dyDescent="0.2">
      <c r="A69" t="s">
        <v>108</v>
      </c>
      <c r="B69" t="s">
        <v>32</v>
      </c>
      <c r="C69">
        <v>249.75</v>
      </c>
      <c r="D69">
        <v>7</v>
      </c>
      <c r="E69">
        <v>37.74</v>
      </c>
      <c r="F69">
        <v>3</v>
      </c>
      <c r="G69">
        <v>34</v>
      </c>
      <c r="H69">
        <v>2</v>
      </c>
      <c r="I69" t="s">
        <v>33</v>
      </c>
      <c r="J69">
        <v>0</v>
      </c>
      <c r="K69">
        <v>55.7</v>
      </c>
      <c r="L69">
        <v>13.6</v>
      </c>
      <c r="M69" t="s">
        <v>25</v>
      </c>
      <c r="N69" t="s">
        <v>40</v>
      </c>
    </row>
    <row r="70" spans="1:14" x14ac:dyDescent="0.2">
      <c r="A70" t="s">
        <v>109</v>
      </c>
      <c r="B70" t="s">
        <v>37</v>
      </c>
      <c r="C70">
        <v>123.83</v>
      </c>
      <c r="D70">
        <v>3</v>
      </c>
      <c r="E70">
        <v>43.02</v>
      </c>
      <c r="F70">
        <v>174</v>
      </c>
      <c r="G70">
        <v>25</v>
      </c>
      <c r="H70">
        <v>3</v>
      </c>
      <c r="I70" t="s">
        <v>33</v>
      </c>
      <c r="J70">
        <v>0</v>
      </c>
      <c r="K70">
        <v>14.2</v>
      </c>
      <c r="L70">
        <v>2.2999999999999998</v>
      </c>
      <c r="M70" t="s">
        <v>25</v>
      </c>
      <c r="N70" t="s">
        <v>43</v>
      </c>
    </row>
    <row r="71" spans="1:14" x14ac:dyDescent="0.2">
      <c r="A71" t="s">
        <v>110</v>
      </c>
      <c r="B71" t="s">
        <v>28</v>
      </c>
      <c r="C71">
        <v>208.97</v>
      </c>
      <c r="D71">
        <v>5</v>
      </c>
      <c r="E71">
        <v>44.94</v>
      </c>
      <c r="F71">
        <v>23</v>
      </c>
      <c r="G71">
        <v>59</v>
      </c>
      <c r="H71">
        <v>4</v>
      </c>
      <c r="I71" t="s">
        <v>24</v>
      </c>
      <c r="J71">
        <v>5</v>
      </c>
      <c r="K71">
        <v>32.700000000000003</v>
      </c>
      <c r="L71">
        <v>9.9</v>
      </c>
      <c r="M71" t="s">
        <v>29</v>
      </c>
      <c r="N71" t="s">
        <v>26</v>
      </c>
    </row>
    <row r="72" spans="1:14" x14ac:dyDescent="0.2">
      <c r="A72" t="s">
        <v>111</v>
      </c>
      <c r="B72" t="s">
        <v>32</v>
      </c>
      <c r="C72">
        <v>63.09</v>
      </c>
      <c r="D72">
        <v>1</v>
      </c>
      <c r="E72">
        <v>65.61</v>
      </c>
      <c r="F72">
        <v>127</v>
      </c>
      <c r="G72">
        <v>29.4</v>
      </c>
      <c r="H72">
        <v>2</v>
      </c>
      <c r="I72" t="s">
        <v>33</v>
      </c>
      <c r="J72">
        <v>0</v>
      </c>
      <c r="K72">
        <v>26.1</v>
      </c>
      <c r="L72">
        <v>4.7</v>
      </c>
      <c r="M72" t="s">
        <v>25</v>
      </c>
      <c r="N72" t="s">
        <v>26</v>
      </c>
    </row>
    <row r="73" spans="1:14" x14ac:dyDescent="0.2">
      <c r="A73" t="s">
        <v>112</v>
      </c>
      <c r="B73" t="s">
        <v>37</v>
      </c>
      <c r="C73">
        <v>190.74</v>
      </c>
      <c r="D73">
        <v>3</v>
      </c>
      <c r="E73">
        <v>65.150000000000006</v>
      </c>
      <c r="F73">
        <v>40</v>
      </c>
      <c r="G73">
        <v>13.5</v>
      </c>
      <c r="H73">
        <v>3</v>
      </c>
      <c r="I73" t="s">
        <v>33</v>
      </c>
      <c r="J73">
        <v>0</v>
      </c>
      <c r="K73">
        <v>48.8</v>
      </c>
      <c r="L73">
        <v>14.7</v>
      </c>
      <c r="M73" t="s">
        <v>53</v>
      </c>
      <c r="N73" t="s">
        <v>26</v>
      </c>
    </row>
    <row r="74" spans="1:14" x14ac:dyDescent="0.2">
      <c r="A74" t="s">
        <v>113</v>
      </c>
      <c r="B74" t="s">
        <v>37</v>
      </c>
      <c r="C74">
        <v>93.57</v>
      </c>
      <c r="D74">
        <v>2</v>
      </c>
      <c r="E74">
        <v>45.28</v>
      </c>
      <c r="F74">
        <v>191</v>
      </c>
      <c r="G74">
        <v>24</v>
      </c>
      <c r="H74">
        <v>1</v>
      </c>
      <c r="I74" t="s">
        <v>33</v>
      </c>
      <c r="J74">
        <v>0</v>
      </c>
      <c r="K74">
        <v>22.5</v>
      </c>
      <c r="L74">
        <v>4.0999999999999996</v>
      </c>
      <c r="M74" t="s">
        <v>25</v>
      </c>
      <c r="N74" t="s">
        <v>26</v>
      </c>
    </row>
    <row r="75" spans="1:14" x14ac:dyDescent="0.2">
      <c r="A75" t="s">
        <v>114</v>
      </c>
      <c r="B75" t="s">
        <v>32</v>
      </c>
      <c r="C75">
        <v>513.5</v>
      </c>
      <c r="D75">
        <v>8</v>
      </c>
      <c r="E75">
        <v>63.72</v>
      </c>
      <c r="F75">
        <v>11</v>
      </c>
      <c r="G75">
        <v>12.5</v>
      </c>
      <c r="H75">
        <v>1</v>
      </c>
      <c r="I75" t="s">
        <v>24</v>
      </c>
      <c r="J75">
        <v>10</v>
      </c>
      <c r="K75">
        <v>80.099999999999994</v>
      </c>
      <c r="L75">
        <v>24.8</v>
      </c>
      <c r="M75" t="s">
        <v>39</v>
      </c>
      <c r="N75" t="s">
        <v>30</v>
      </c>
    </row>
    <row r="76" spans="1:14" x14ac:dyDescent="0.2">
      <c r="A76" t="s">
        <v>115</v>
      </c>
      <c r="B76" t="s">
        <v>35</v>
      </c>
      <c r="C76">
        <v>351.23</v>
      </c>
      <c r="D76">
        <v>5</v>
      </c>
      <c r="E76">
        <v>72.209999999999994</v>
      </c>
      <c r="F76">
        <v>21</v>
      </c>
      <c r="G76">
        <v>7.6</v>
      </c>
      <c r="H76">
        <v>5</v>
      </c>
      <c r="I76" t="s">
        <v>24</v>
      </c>
      <c r="J76">
        <v>9</v>
      </c>
      <c r="K76">
        <v>63.2</v>
      </c>
      <c r="L76">
        <v>12.5</v>
      </c>
      <c r="M76" t="s">
        <v>39</v>
      </c>
      <c r="N76" t="s">
        <v>26</v>
      </c>
    </row>
    <row r="77" spans="1:14" x14ac:dyDescent="0.2">
      <c r="A77" t="s">
        <v>116</v>
      </c>
      <c r="B77" t="s">
        <v>32</v>
      </c>
      <c r="C77">
        <v>170.58</v>
      </c>
      <c r="D77">
        <v>4</v>
      </c>
      <c r="E77">
        <v>42.98</v>
      </c>
      <c r="F77">
        <v>46</v>
      </c>
      <c r="G77">
        <v>67.5</v>
      </c>
      <c r="H77">
        <v>2</v>
      </c>
      <c r="I77" t="s">
        <v>33</v>
      </c>
      <c r="J77">
        <v>0</v>
      </c>
      <c r="K77">
        <v>34.4</v>
      </c>
      <c r="L77">
        <v>12</v>
      </c>
      <c r="M77" t="s">
        <v>55</v>
      </c>
      <c r="N77" t="s">
        <v>43</v>
      </c>
    </row>
    <row r="78" spans="1:14" x14ac:dyDescent="0.2">
      <c r="A78" t="s">
        <v>117</v>
      </c>
      <c r="B78" t="s">
        <v>32</v>
      </c>
      <c r="C78">
        <v>174.25</v>
      </c>
      <c r="D78">
        <v>3</v>
      </c>
      <c r="E78">
        <v>54.07</v>
      </c>
      <c r="F78">
        <v>283</v>
      </c>
      <c r="G78">
        <v>20.2</v>
      </c>
      <c r="H78">
        <v>2</v>
      </c>
      <c r="I78" t="s">
        <v>33</v>
      </c>
      <c r="J78">
        <v>0</v>
      </c>
      <c r="K78">
        <v>16</v>
      </c>
      <c r="L78">
        <v>8.9</v>
      </c>
      <c r="M78" t="s">
        <v>25</v>
      </c>
      <c r="N78" t="s">
        <v>45</v>
      </c>
    </row>
    <row r="79" spans="1:14" x14ac:dyDescent="0.2">
      <c r="A79" t="s">
        <v>118</v>
      </c>
      <c r="B79" t="s">
        <v>37</v>
      </c>
      <c r="C79">
        <v>441.12</v>
      </c>
      <c r="D79">
        <v>6</v>
      </c>
      <c r="E79">
        <v>73.13</v>
      </c>
      <c r="F79">
        <v>35</v>
      </c>
      <c r="G79">
        <v>3.4</v>
      </c>
      <c r="H79">
        <v>3</v>
      </c>
      <c r="I79" t="s">
        <v>24</v>
      </c>
      <c r="J79">
        <v>16</v>
      </c>
      <c r="K79">
        <v>62.4</v>
      </c>
      <c r="L79">
        <v>19.8</v>
      </c>
      <c r="M79" t="s">
        <v>29</v>
      </c>
      <c r="N79" t="s">
        <v>26</v>
      </c>
    </row>
    <row r="80" spans="1:14" x14ac:dyDescent="0.2">
      <c r="A80" t="s">
        <v>119</v>
      </c>
      <c r="B80" t="s">
        <v>23</v>
      </c>
      <c r="C80">
        <v>247.14</v>
      </c>
      <c r="D80">
        <v>5</v>
      </c>
      <c r="E80">
        <v>45.88</v>
      </c>
      <c r="F80">
        <v>27</v>
      </c>
      <c r="G80">
        <v>37.799999999999997</v>
      </c>
      <c r="H80">
        <v>4</v>
      </c>
      <c r="I80" t="s">
        <v>33</v>
      </c>
      <c r="J80">
        <v>0</v>
      </c>
      <c r="K80">
        <v>35.299999999999997</v>
      </c>
      <c r="L80">
        <v>11.9</v>
      </c>
      <c r="M80" t="s">
        <v>55</v>
      </c>
      <c r="N80" t="s">
        <v>45</v>
      </c>
    </row>
    <row r="81" spans="1:14" x14ac:dyDescent="0.2">
      <c r="A81" t="s">
        <v>120</v>
      </c>
      <c r="B81" t="s">
        <v>37</v>
      </c>
      <c r="C81">
        <v>100.4</v>
      </c>
      <c r="D81">
        <v>2</v>
      </c>
      <c r="E81">
        <v>50.16</v>
      </c>
      <c r="F81">
        <v>159</v>
      </c>
      <c r="G81">
        <v>12.4</v>
      </c>
      <c r="H81">
        <v>4</v>
      </c>
      <c r="I81" t="s">
        <v>24</v>
      </c>
      <c r="J81">
        <v>1</v>
      </c>
      <c r="K81">
        <v>23.5</v>
      </c>
      <c r="L81">
        <v>5.7</v>
      </c>
      <c r="M81" t="s">
        <v>53</v>
      </c>
      <c r="N81" t="s">
        <v>43</v>
      </c>
    </row>
    <row r="82" spans="1:14" x14ac:dyDescent="0.2">
      <c r="A82" t="s">
        <v>121</v>
      </c>
      <c r="B82" t="s">
        <v>32</v>
      </c>
      <c r="C82">
        <v>229.09</v>
      </c>
      <c r="D82">
        <v>5</v>
      </c>
      <c r="E82">
        <v>45.62</v>
      </c>
      <c r="F82">
        <v>48</v>
      </c>
      <c r="G82">
        <v>35.299999999999997</v>
      </c>
      <c r="H82">
        <v>2</v>
      </c>
      <c r="I82" t="s">
        <v>24</v>
      </c>
      <c r="J82">
        <v>8</v>
      </c>
      <c r="K82">
        <v>38.299999999999997</v>
      </c>
      <c r="L82">
        <v>8.9</v>
      </c>
      <c r="M82" t="s">
        <v>47</v>
      </c>
      <c r="N82" t="s">
        <v>26</v>
      </c>
    </row>
    <row r="83" spans="1:14" x14ac:dyDescent="0.2">
      <c r="A83" t="s">
        <v>122</v>
      </c>
      <c r="B83" t="s">
        <v>35</v>
      </c>
      <c r="C83">
        <v>354.73</v>
      </c>
      <c r="D83">
        <v>6</v>
      </c>
      <c r="E83">
        <v>60.93</v>
      </c>
      <c r="F83">
        <v>28</v>
      </c>
      <c r="G83">
        <v>27.9</v>
      </c>
      <c r="H83">
        <v>5</v>
      </c>
      <c r="I83" t="s">
        <v>33</v>
      </c>
      <c r="J83">
        <v>0</v>
      </c>
      <c r="K83">
        <v>45</v>
      </c>
      <c r="L83">
        <v>22</v>
      </c>
      <c r="M83" t="s">
        <v>29</v>
      </c>
      <c r="N83" t="s">
        <v>30</v>
      </c>
    </row>
    <row r="84" spans="1:14" x14ac:dyDescent="0.2">
      <c r="A84" t="s">
        <v>123</v>
      </c>
      <c r="B84" t="s">
        <v>23</v>
      </c>
      <c r="C84">
        <v>716.91</v>
      </c>
      <c r="D84">
        <v>8</v>
      </c>
      <c r="E84">
        <v>85.17</v>
      </c>
      <c r="F84">
        <v>1</v>
      </c>
      <c r="G84">
        <v>11.3</v>
      </c>
      <c r="H84">
        <v>3</v>
      </c>
      <c r="I84" t="s">
        <v>24</v>
      </c>
      <c r="J84">
        <v>10</v>
      </c>
      <c r="K84">
        <v>67.900000000000006</v>
      </c>
      <c r="L84">
        <v>18.7</v>
      </c>
      <c r="M84" t="s">
        <v>25</v>
      </c>
      <c r="N84" t="s">
        <v>30</v>
      </c>
    </row>
    <row r="85" spans="1:14" x14ac:dyDescent="0.2">
      <c r="A85" t="s">
        <v>124</v>
      </c>
      <c r="B85" t="s">
        <v>37</v>
      </c>
      <c r="C85">
        <v>440.48</v>
      </c>
      <c r="D85">
        <v>6</v>
      </c>
      <c r="E85">
        <v>69.61</v>
      </c>
      <c r="F85">
        <v>19</v>
      </c>
      <c r="G85">
        <v>9.8000000000000007</v>
      </c>
      <c r="H85">
        <v>3</v>
      </c>
      <c r="I85" t="s">
        <v>24</v>
      </c>
      <c r="J85">
        <v>15</v>
      </c>
      <c r="K85">
        <v>71.099999999999994</v>
      </c>
      <c r="L85">
        <v>8.4</v>
      </c>
      <c r="M85" t="s">
        <v>47</v>
      </c>
      <c r="N85" t="s">
        <v>45</v>
      </c>
    </row>
    <row r="86" spans="1:14" x14ac:dyDescent="0.2">
      <c r="A86" t="s">
        <v>125</v>
      </c>
      <c r="B86" t="s">
        <v>23</v>
      </c>
      <c r="C86">
        <v>222.9</v>
      </c>
      <c r="D86">
        <v>4</v>
      </c>
      <c r="E86">
        <v>59.84</v>
      </c>
      <c r="F86">
        <v>99</v>
      </c>
      <c r="G86">
        <v>21.8</v>
      </c>
      <c r="H86">
        <v>2</v>
      </c>
      <c r="I86" t="s">
        <v>33</v>
      </c>
      <c r="J86">
        <v>0</v>
      </c>
      <c r="K86">
        <v>31.6</v>
      </c>
      <c r="L86">
        <v>1.6</v>
      </c>
      <c r="M86" t="s">
        <v>55</v>
      </c>
      <c r="N86" t="s">
        <v>30</v>
      </c>
    </row>
    <row r="87" spans="1:14" x14ac:dyDescent="0.2">
      <c r="A87" t="s">
        <v>126</v>
      </c>
      <c r="B87" t="s">
        <v>23</v>
      </c>
      <c r="C87">
        <v>228.56</v>
      </c>
      <c r="D87">
        <v>6</v>
      </c>
      <c r="E87">
        <v>39.93</v>
      </c>
      <c r="F87">
        <v>30</v>
      </c>
      <c r="G87">
        <v>55</v>
      </c>
      <c r="H87">
        <v>3</v>
      </c>
      <c r="I87" t="s">
        <v>33</v>
      </c>
      <c r="J87">
        <v>0</v>
      </c>
      <c r="K87">
        <v>24.5</v>
      </c>
      <c r="L87">
        <v>2.2999999999999998</v>
      </c>
      <c r="M87" t="s">
        <v>39</v>
      </c>
      <c r="N87" t="s">
        <v>45</v>
      </c>
    </row>
    <row r="88" spans="1:14" x14ac:dyDescent="0.2">
      <c r="A88" t="s">
        <v>127</v>
      </c>
      <c r="B88" t="s">
        <v>32</v>
      </c>
      <c r="C88">
        <v>195.46</v>
      </c>
      <c r="D88">
        <v>3</v>
      </c>
      <c r="E88">
        <v>61.17</v>
      </c>
      <c r="F88">
        <v>155</v>
      </c>
      <c r="G88">
        <v>23.8</v>
      </c>
      <c r="H88">
        <v>2</v>
      </c>
      <c r="I88" t="s">
        <v>33</v>
      </c>
      <c r="J88">
        <v>0</v>
      </c>
      <c r="K88">
        <v>12.3</v>
      </c>
      <c r="L88">
        <v>7.5</v>
      </c>
      <c r="M88" t="s">
        <v>39</v>
      </c>
      <c r="N88" t="s">
        <v>43</v>
      </c>
    </row>
    <row r="89" spans="1:14" x14ac:dyDescent="0.2">
      <c r="A89" t="s">
        <v>128</v>
      </c>
      <c r="B89" t="s">
        <v>35</v>
      </c>
      <c r="C89">
        <v>375.46</v>
      </c>
      <c r="D89">
        <v>7</v>
      </c>
      <c r="E89">
        <v>57.2</v>
      </c>
      <c r="F89">
        <v>20</v>
      </c>
      <c r="G89">
        <v>46.4</v>
      </c>
      <c r="H89">
        <v>4</v>
      </c>
      <c r="I89" t="s">
        <v>33</v>
      </c>
      <c r="J89">
        <v>0</v>
      </c>
      <c r="K89">
        <v>36.799999999999997</v>
      </c>
      <c r="L89">
        <v>11</v>
      </c>
      <c r="M89" t="s">
        <v>29</v>
      </c>
      <c r="N89" t="s">
        <v>43</v>
      </c>
    </row>
    <row r="90" spans="1:14" x14ac:dyDescent="0.2">
      <c r="A90" t="s">
        <v>129</v>
      </c>
      <c r="B90" t="s">
        <v>32</v>
      </c>
      <c r="C90">
        <v>489.29</v>
      </c>
      <c r="D90">
        <v>7</v>
      </c>
      <c r="E90">
        <v>66.650000000000006</v>
      </c>
      <c r="F90">
        <v>27</v>
      </c>
      <c r="G90">
        <v>11.5</v>
      </c>
      <c r="H90">
        <v>4</v>
      </c>
      <c r="I90" t="s">
        <v>24</v>
      </c>
      <c r="J90">
        <v>10</v>
      </c>
      <c r="K90">
        <v>65</v>
      </c>
      <c r="L90">
        <v>17</v>
      </c>
      <c r="M90" t="s">
        <v>47</v>
      </c>
      <c r="N90" t="s">
        <v>45</v>
      </c>
    </row>
    <row r="91" spans="1:14" x14ac:dyDescent="0.2">
      <c r="A91" t="s">
        <v>130</v>
      </c>
      <c r="B91" t="s">
        <v>58</v>
      </c>
      <c r="C91">
        <v>249.52</v>
      </c>
      <c r="D91">
        <v>5</v>
      </c>
      <c r="E91">
        <v>49.58</v>
      </c>
      <c r="F91">
        <v>25</v>
      </c>
      <c r="G91">
        <v>36.9</v>
      </c>
      <c r="H91">
        <v>5</v>
      </c>
      <c r="I91" t="s">
        <v>33</v>
      </c>
      <c r="J91">
        <v>0</v>
      </c>
      <c r="K91">
        <v>51.4</v>
      </c>
      <c r="L91">
        <v>9.8000000000000007</v>
      </c>
      <c r="M91" t="s">
        <v>25</v>
      </c>
      <c r="N91" t="s">
        <v>45</v>
      </c>
    </row>
    <row r="92" spans="1:14" x14ac:dyDescent="0.2">
      <c r="A92" t="s">
        <v>131</v>
      </c>
      <c r="B92" t="s">
        <v>37</v>
      </c>
      <c r="C92">
        <v>203.56</v>
      </c>
      <c r="D92">
        <v>4</v>
      </c>
      <c r="E92">
        <v>54.86</v>
      </c>
      <c r="F92">
        <v>29</v>
      </c>
      <c r="G92">
        <v>25.8</v>
      </c>
      <c r="H92">
        <v>5</v>
      </c>
      <c r="I92" t="s">
        <v>24</v>
      </c>
      <c r="J92">
        <v>3</v>
      </c>
      <c r="K92">
        <v>58.5</v>
      </c>
      <c r="L92">
        <v>8.6999999999999993</v>
      </c>
      <c r="M92" t="s">
        <v>29</v>
      </c>
      <c r="N92" t="s">
        <v>40</v>
      </c>
    </row>
    <row r="93" spans="1:14" x14ac:dyDescent="0.2">
      <c r="A93" t="s">
        <v>132</v>
      </c>
      <c r="B93" t="s">
        <v>35</v>
      </c>
      <c r="C93">
        <v>212.62</v>
      </c>
      <c r="D93">
        <v>3</v>
      </c>
      <c r="E93">
        <v>75.53</v>
      </c>
      <c r="F93">
        <v>132</v>
      </c>
      <c r="G93">
        <v>21</v>
      </c>
      <c r="H93">
        <v>2</v>
      </c>
      <c r="I93" t="s">
        <v>24</v>
      </c>
      <c r="J93">
        <v>5</v>
      </c>
      <c r="K93">
        <v>24.8</v>
      </c>
      <c r="L93">
        <v>8.5</v>
      </c>
      <c r="M93" t="s">
        <v>39</v>
      </c>
      <c r="N93" t="s">
        <v>43</v>
      </c>
    </row>
    <row r="94" spans="1:14" x14ac:dyDescent="0.2">
      <c r="A94" t="s">
        <v>133</v>
      </c>
      <c r="B94" t="s">
        <v>32</v>
      </c>
      <c r="C94">
        <v>327.31</v>
      </c>
      <c r="D94">
        <v>7</v>
      </c>
      <c r="E94">
        <v>46.01</v>
      </c>
      <c r="F94">
        <v>60</v>
      </c>
      <c r="G94">
        <v>50.3</v>
      </c>
      <c r="H94">
        <v>1</v>
      </c>
      <c r="I94" t="s">
        <v>33</v>
      </c>
      <c r="J94">
        <v>0</v>
      </c>
      <c r="K94">
        <v>44.8</v>
      </c>
      <c r="L94">
        <v>15.9</v>
      </c>
      <c r="M94" t="s">
        <v>39</v>
      </c>
      <c r="N94" t="s">
        <v>43</v>
      </c>
    </row>
    <row r="95" spans="1:14" x14ac:dyDescent="0.2">
      <c r="A95" t="s">
        <v>134</v>
      </c>
      <c r="B95" t="s">
        <v>58</v>
      </c>
      <c r="C95">
        <v>106.91</v>
      </c>
      <c r="D95">
        <v>2</v>
      </c>
      <c r="E95">
        <v>53.35</v>
      </c>
      <c r="F95">
        <v>212</v>
      </c>
      <c r="G95">
        <v>31.5</v>
      </c>
      <c r="H95">
        <v>3</v>
      </c>
      <c r="I95" t="s">
        <v>33</v>
      </c>
      <c r="J95">
        <v>0</v>
      </c>
      <c r="K95">
        <v>13.9</v>
      </c>
      <c r="L95">
        <v>7.3</v>
      </c>
      <c r="M95" t="s">
        <v>29</v>
      </c>
      <c r="N95" t="s">
        <v>45</v>
      </c>
    </row>
    <row r="96" spans="1:14" x14ac:dyDescent="0.2">
      <c r="A96" t="s">
        <v>135</v>
      </c>
      <c r="B96" t="s">
        <v>32</v>
      </c>
      <c r="C96">
        <v>164.17</v>
      </c>
      <c r="D96">
        <v>5</v>
      </c>
      <c r="E96">
        <v>35.25</v>
      </c>
      <c r="F96">
        <v>36</v>
      </c>
      <c r="G96">
        <v>74.099999999999994</v>
      </c>
      <c r="H96">
        <v>3</v>
      </c>
      <c r="I96" t="s">
        <v>33</v>
      </c>
      <c r="J96">
        <v>0</v>
      </c>
      <c r="K96">
        <v>43.5</v>
      </c>
      <c r="L96">
        <v>19.2</v>
      </c>
      <c r="M96" t="s">
        <v>25</v>
      </c>
      <c r="N96" t="s">
        <v>43</v>
      </c>
    </row>
    <row r="97" spans="1:14" x14ac:dyDescent="0.2">
      <c r="A97" t="s">
        <v>136</v>
      </c>
      <c r="B97" t="s">
        <v>58</v>
      </c>
      <c r="C97">
        <v>498.47</v>
      </c>
      <c r="D97">
        <v>8</v>
      </c>
      <c r="E97">
        <v>64.58</v>
      </c>
      <c r="F97">
        <v>16</v>
      </c>
      <c r="G97">
        <v>4.0999999999999996</v>
      </c>
      <c r="H97">
        <v>3</v>
      </c>
      <c r="I97" t="s">
        <v>24</v>
      </c>
      <c r="J97">
        <v>11</v>
      </c>
      <c r="K97">
        <v>31.2</v>
      </c>
      <c r="L97">
        <v>18.3</v>
      </c>
      <c r="M97" t="s">
        <v>47</v>
      </c>
      <c r="N97" t="s">
        <v>40</v>
      </c>
    </row>
    <row r="98" spans="1:14" x14ac:dyDescent="0.2">
      <c r="A98" t="s">
        <v>137</v>
      </c>
      <c r="B98" t="s">
        <v>58</v>
      </c>
      <c r="C98">
        <v>113.6</v>
      </c>
      <c r="D98">
        <v>2</v>
      </c>
      <c r="E98">
        <v>58.74</v>
      </c>
      <c r="F98">
        <v>29</v>
      </c>
      <c r="G98">
        <v>11.4</v>
      </c>
      <c r="H98">
        <v>4</v>
      </c>
      <c r="I98" t="s">
        <v>33</v>
      </c>
      <c r="J98">
        <v>0</v>
      </c>
      <c r="K98">
        <v>52.8</v>
      </c>
      <c r="L98">
        <v>26.7</v>
      </c>
      <c r="M98" t="s">
        <v>29</v>
      </c>
      <c r="N98" t="s">
        <v>45</v>
      </c>
    </row>
    <row r="99" spans="1:14" x14ac:dyDescent="0.2">
      <c r="A99" t="s">
        <v>138</v>
      </c>
      <c r="B99" t="s">
        <v>23</v>
      </c>
      <c r="C99">
        <v>568.82000000000005</v>
      </c>
      <c r="D99">
        <v>7</v>
      </c>
      <c r="E99">
        <v>78.709999999999994</v>
      </c>
      <c r="F99">
        <v>14</v>
      </c>
      <c r="G99">
        <v>13.3</v>
      </c>
      <c r="H99">
        <v>3</v>
      </c>
      <c r="I99" t="s">
        <v>24</v>
      </c>
      <c r="J99">
        <v>8</v>
      </c>
      <c r="K99">
        <v>55.8</v>
      </c>
      <c r="L99">
        <v>21.4</v>
      </c>
      <c r="M99" t="s">
        <v>47</v>
      </c>
      <c r="N99" t="s">
        <v>43</v>
      </c>
    </row>
    <row r="100" spans="1:14" x14ac:dyDescent="0.2">
      <c r="A100" t="s">
        <v>139</v>
      </c>
      <c r="B100" t="s">
        <v>37</v>
      </c>
      <c r="C100">
        <v>142.82</v>
      </c>
      <c r="D100">
        <v>3</v>
      </c>
      <c r="E100">
        <v>44.38</v>
      </c>
      <c r="F100">
        <v>6</v>
      </c>
      <c r="G100">
        <v>8</v>
      </c>
      <c r="H100">
        <v>5</v>
      </c>
      <c r="I100" t="s">
        <v>33</v>
      </c>
      <c r="J100">
        <v>0</v>
      </c>
      <c r="K100">
        <v>53.1</v>
      </c>
      <c r="L100">
        <v>17.600000000000001</v>
      </c>
      <c r="M100" t="s">
        <v>25</v>
      </c>
      <c r="N100" t="s">
        <v>45</v>
      </c>
    </row>
    <row r="101" spans="1:14" x14ac:dyDescent="0.2">
      <c r="A101" t="s">
        <v>140</v>
      </c>
      <c r="B101" t="s">
        <v>37</v>
      </c>
      <c r="C101">
        <v>150.56</v>
      </c>
      <c r="D101">
        <v>4</v>
      </c>
      <c r="E101">
        <v>38.14</v>
      </c>
      <c r="F101">
        <v>72</v>
      </c>
      <c r="G101">
        <v>49.8</v>
      </c>
      <c r="H101">
        <v>3</v>
      </c>
      <c r="I101" t="s">
        <v>24</v>
      </c>
      <c r="J101">
        <v>3</v>
      </c>
      <c r="K101">
        <v>15.9</v>
      </c>
      <c r="L101">
        <v>6.4</v>
      </c>
      <c r="M101" t="s">
        <v>39</v>
      </c>
      <c r="N101" t="s">
        <v>45</v>
      </c>
    </row>
    <row r="102" spans="1:14" x14ac:dyDescent="0.2">
      <c r="A102" t="s">
        <v>141</v>
      </c>
      <c r="B102" t="s">
        <v>37</v>
      </c>
      <c r="C102">
        <v>483.88</v>
      </c>
      <c r="D102">
        <v>7</v>
      </c>
      <c r="E102">
        <v>70.69</v>
      </c>
      <c r="F102">
        <v>21</v>
      </c>
      <c r="G102">
        <v>12.5</v>
      </c>
      <c r="H102">
        <v>3</v>
      </c>
      <c r="I102" t="s">
        <v>33</v>
      </c>
      <c r="J102">
        <v>0</v>
      </c>
      <c r="K102">
        <v>70.7</v>
      </c>
      <c r="L102">
        <v>21.8</v>
      </c>
      <c r="M102" t="s">
        <v>39</v>
      </c>
      <c r="N102" t="s">
        <v>26</v>
      </c>
    </row>
    <row r="103" spans="1:14" x14ac:dyDescent="0.2">
      <c r="A103" t="s">
        <v>142</v>
      </c>
      <c r="B103" t="s">
        <v>35</v>
      </c>
      <c r="C103">
        <v>104.13</v>
      </c>
      <c r="D103">
        <v>2</v>
      </c>
      <c r="E103">
        <v>55.23</v>
      </c>
      <c r="F103">
        <v>150</v>
      </c>
      <c r="G103">
        <v>29.1</v>
      </c>
      <c r="H103">
        <v>2</v>
      </c>
      <c r="I103" t="s">
        <v>33</v>
      </c>
      <c r="J103">
        <v>0</v>
      </c>
      <c r="K103">
        <v>24.3</v>
      </c>
      <c r="L103">
        <v>5.2</v>
      </c>
      <c r="M103" t="s">
        <v>25</v>
      </c>
      <c r="N103" t="s">
        <v>40</v>
      </c>
    </row>
    <row r="104" spans="1:14" x14ac:dyDescent="0.2">
      <c r="A104" t="s">
        <v>143</v>
      </c>
      <c r="B104" t="s">
        <v>23</v>
      </c>
      <c r="C104">
        <v>179.45</v>
      </c>
      <c r="D104">
        <v>3</v>
      </c>
      <c r="E104">
        <v>57.7</v>
      </c>
      <c r="F104">
        <v>32</v>
      </c>
      <c r="G104">
        <v>23.9</v>
      </c>
      <c r="H104">
        <v>3</v>
      </c>
      <c r="I104" t="s">
        <v>33</v>
      </c>
      <c r="J104">
        <v>0</v>
      </c>
      <c r="K104">
        <v>28.4</v>
      </c>
      <c r="L104">
        <v>16.7</v>
      </c>
      <c r="M104" t="s">
        <v>29</v>
      </c>
      <c r="N104" t="s">
        <v>30</v>
      </c>
    </row>
    <row r="105" spans="1:14" x14ac:dyDescent="0.2">
      <c r="A105" t="s">
        <v>144</v>
      </c>
      <c r="B105" t="s">
        <v>58</v>
      </c>
      <c r="C105">
        <v>188.99</v>
      </c>
      <c r="D105">
        <v>3</v>
      </c>
      <c r="E105">
        <v>60.13</v>
      </c>
      <c r="F105">
        <v>219</v>
      </c>
      <c r="G105">
        <v>15.5</v>
      </c>
      <c r="H105">
        <v>1</v>
      </c>
      <c r="I105" t="s">
        <v>33</v>
      </c>
      <c r="J105">
        <v>0</v>
      </c>
      <c r="K105">
        <v>29.4</v>
      </c>
      <c r="L105">
        <v>4.2</v>
      </c>
      <c r="M105" t="s">
        <v>25</v>
      </c>
      <c r="N105" t="s">
        <v>45</v>
      </c>
    </row>
    <row r="106" spans="1:14" x14ac:dyDescent="0.2">
      <c r="A106" t="s">
        <v>145</v>
      </c>
      <c r="B106" t="s">
        <v>28</v>
      </c>
      <c r="C106">
        <v>436.97</v>
      </c>
      <c r="D106">
        <v>7</v>
      </c>
      <c r="E106">
        <v>60.6</v>
      </c>
      <c r="F106">
        <v>32</v>
      </c>
      <c r="G106">
        <v>28.6</v>
      </c>
      <c r="H106">
        <v>5</v>
      </c>
      <c r="I106" t="s">
        <v>24</v>
      </c>
      <c r="J106">
        <v>2</v>
      </c>
      <c r="K106">
        <v>59.7</v>
      </c>
      <c r="L106">
        <v>20.9</v>
      </c>
      <c r="M106" t="s">
        <v>25</v>
      </c>
      <c r="N106" t="s">
        <v>43</v>
      </c>
    </row>
    <row r="107" spans="1:14" x14ac:dyDescent="0.2">
      <c r="A107" t="s">
        <v>146</v>
      </c>
      <c r="B107" t="s">
        <v>23</v>
      </c>
      <c r="C107">
        <v>116.18</v>
      </c>
      <c r="D107">
        <v>3</v>
      </c>
      <c r="E107">
        <v>41.91</v>
      </c>
      <c r="F107">
        <v>90</v>
      </c>
      <c r="G107">
        <v>17.899999999999999</v>
      </c>
      <c r="H107">
        <v>1</v>
      </c>
      <c r="I107" t="s">
        <v>33</v>
      </c>
      <c r="J107">
        <v>0</v>
      </c>
      <c r="K107">
        <v>14.3</v>
      </c>
      <c r="L107">
        <v>3.7</v>
      </c>
      <c r="M107" t="s">
        <v>55</v>
      </c>
      <c r="N107" t="s">
        <v>45</v>
      </c>
    </row>
    <row r="108" spans="1:14" x14ac:dyDescent="0.2">
      <c r="A108" t="s">
        <v>147</v>
      </c>
      <c r="B108" t="s">
        <v>23</v>
      </c>
      <c r="C108">
        <v>274.04000000000002</v>
      </c>
      <c r="D108">
        <v>4</v>
      </c>
      <c r="E108">
        <v>71.75</v>
      </c>
      <c r="F108">
        <v>130</v>
      </c>
      <c r="G108">
        <v>16.399999999999999</v>
      </c>
      <c r="H108">
        <v>1</v>
      </c>
      <c r="I108" t="s">
        <v>33</v>
      </c>
      <c r="J108">
        <v>0</v>
      </c>
      <c r="K108">
        <v>15.6</v>
      </c>
      <c r="L108">
        <v>0.1</v>
      </c>
      <c r="M108" t="s">
        <v>29</v>
      </c>
      <c r="N108" t="s">
        <v>43</v>
      </c>
    </row>
    <row r="109" spans="1:14" x14ac:dyDescent="0.2">
      <c r="A109" t="s">
        <v>148</v>
      </c>
      <c r="B109" t="s">
        <v>32</v>
      </c>
      <c r="C109">
        <v>434.36</v>
      </c>
      <c r="D109">
        <v>7</v>
      </c>
      <c r="E109">
        <v>57.76</v>
      </c>
      <c r="F109">
        <v>20</v>
      </c>
      <c r="G109">
        <v>28.8</v>
      </c>
      <c r="H109">
        <v>5</v>
      </c>
      <c r="I109" t="s">
        <v>33</v>
      </c>
      <c r="J109">
        <v>0</v>
      </c>
      <c r="K109">
        <v>48.1</v>
      </c>
      <c r="L109">
        <v>10.6</v>
      </c>
      <c r="M109" t="s">
        <v>47</v>
      </c>
      <c r="N109" t="s">
        <v>26</v>
      </c>
    </row>
    <row r="110" spans="1:14" x14ac:dyDescent="0.2">
      <c r="A110" t="s">
        <v>149</v>
      </c>
      <c r="B110" t="s">
        <v>37</v>
      </c>
      <c r="C110">
        <v>527.16999999999996</v>
      </c>
      <c r="D110">
        <v>7</v>
      </c>
      <c r="E110">
        <v>70.900000000000006</v>
      </c>
      <c r="F110">
        <v>19</v>
      </c>
      <c r="G110">
        <v>11.5</v>
      </c>
      <c r="H110">
        <v>3</v>
      </c>
      <c r="I110" t="s">
        <v>24</v>
      </c>
      <c r="J110">
        <v>18</v>
      </c>
      <c r="K110">
        <v>54.9</v>
      </c>
      <c r="L110">
        <v>17.100000000000001</v>
      </c>
      <c r="M110" t="s">
        <v>29</v>
      </c>
      <c r="N110" t="s">
        <v>40</v>
      </c>
    </row>
    <row r="111" spans="1:14" x14ac:dyDescent="0.2">
      <c r="A111" t="s">
        <v>150</v>
      </c>
      <c r="B111" t="s">
        <v>37</v>
      </c>
      <c r="C111">
        <v>362.06</v>
      </c>
      <c r="D111">
        <v>8</v>
      </c>
      <c r="E111">
        <v>44.96</v>
      </c>
      <c r="F111">
        <v>48</v>
      </c>
      <c r="G111">
        <v>46.7</v>
      </c>
      <c r="H111">
        <v>1</v>
      </c>
      <c r="I111" t="s">
        <v>33</v>
      </c>
      <c r="J111">
        <v>0</v>
      </c>
      <c r="K111">
        <v>26.7</v>
      </c>
      <c r="L111">
        <v>10.7</v>
      </c>
      <c r="M111" t="s">
        <v>47</v>
      </c>
      <c r="N111" t="s">
        <v>26</v>
      </c>
    </row>
    <row r="112" spans="1:14" x14ac:dyDescent="0.2">
      <c r="A112" t="s">
        <v>151</v>
      </c>
      <c r="B112" t="s">
        <v>23</v>
      </c>
      <c r="C112">
        <v>382.33</v>
      </c>
      <c r="D112">
        <v>5</v>
      </c>
      <c r="E112">
        <v>78.38</v>
      </c>
      <c r="F112">
        <v>2</v>
      </c>
      <c r="G112">
        <v>15</v>
      </c>
      <c r="H112">
        <v>3</v>
      </c>
      <c r="I112" t="s">
        <v>24</v>
      </c>
      <c r="J112">
        <v>6</v>
      </c>
      <c r="K112">
        <v>45.6</v>
      </c>
      <c r="L112">
        <v>16.3</v>
      </c>
      <c r="M112" t="s">
        <v>47</v>
      </c>
      <c r="N112" t="s">
        <v>43</v>
      </c>
    </row>
    <row r="113" spans="1:14" x14ac:dyDescent="0.2">
      <c r="A113" t="s">
        <v>152</v>
      </c>
      <c r="B113" t="s">
        <v>37</v>
      </c>
      <c r="C113">
        <v>244.41</v>
      </c>
      <c r="D113">
        <v>5</v>
      </c>
      <c r="E113">
        <v>48.35</v>
      </c>
      <c r="F113">
        <v>72</v>
      </c>
      <c r="G113">
        <v>28.4</v>
      </c>
      <c r="H113">
        <v>4</v>
      </c>
      <c r="I113" t="s">
        <v>33</v>
      </c>
      <c r="J113">
        <v>0</v>
      </c>
      <c r="K113">
        <v>50.9</v>
      </c>
      <c r="L113">
        <v>17.5</v>
      </c>
      <c r="M113" t="s">
        <v>47</v>
      </c>
      <c r="N113" t="s">
        <v>40</v>
      </c>
    </row>
    <row r="114" spans="1:14" x14ac:dyDescent="0.2">
      <c r="A114" t="s">
        <v>153</v>
      </c>
      <c r="B114" t="s">
        <v>28</v>
      </c>
      <c r="C114">
        <v>132.34</v>
      </c>
      <c r="D114">
        <v>2</v>
      </c>
      <c r="E114">
        <v>62.47</v>
      </c>
      <c r="F114">
        <v>33</v>
      </c>
      <c r="G114">
        <v>21.3</v>
      </c>
      <c r="H114">
        <v>6</v>
      </c>
      <c r="I114" t="s">
        <v>24</v>
      </c>
      <c r="J114">
        <v>3</v>
      </c>
      <c r="K114">
        <v>50.7</v>
      </c>
      <c r="L114">
        <v>21.8</v>
      </c>
      <c r="M114" t="s">
        <v>39</v>
      </c>
      <c r="N114" t="s">
        <v>40</v>
      </c>
    </row>
    <row r="115" spans="1:14" x14ac:dyDescent="0.2">
      <c r="A115" t="s">
        <v>154</v>
      </c>
      <c r="B115" t="s">
        <v>32</v>
      </c>
      <c r="C115">
        <v>586.58000000000004</v>
      </c>
      <c r="D115">
        <v>8</v>
      </c>
      <c r="E115">
        <v>68.08</v>
      </c>
      <c r="F115">
        <v>19</v>
      </c>
      <c r="G115">
        <v>13.6</v>
      </c>
      <c r="H115">
        <v>4</v>
      </c>
      <c r="I115" t="s">
        <v>33</v>
      </c>
      <c r="J115">
        <v>0</v>
      </c>
      <c r="K115">
        <v>51.6</v>
      </c>
      <c r="L115">
        <v>15.4</v>
      </c>
      <c r="M115" t="s">
        <v>39</v>
      </c>
      <c r="N115" t="s">
        <v>30</v>
      </c>
    </row>
    <row r="116" spans="1:14" x14ac:dyDescent="0.2">
      <c r="A116" t="s">
        <v>155</v>
      </c>
      <c r="B116" t="s">
        <v>35</v>
      </c>
      <c r="C116">
        <v>67.27</v>
      </c>
      <c r="D116">
        <v>1</v>
      </c>
      <c r="E116">
        <v>68.510000000000005</v>
      </c>
      <c r="F116">
        <v>60</v>
      </c>
      <c r="G116">
        <v>21.5</v>
      </c>
      <c r="H116">
        <v>3</v>
      </c>
      <c r="I116" t="s">
        <v>33</v>
      </c>
      <c r="J116">
        <v>0</v>
      </c>
      <c r="K116">
        <v>27.1</v>
      </c>
      <c r="L116">
        <v>2.8</v>
      </c>
      <c r="M116" t="s">
        <v>29</v>
      </c>
      <c r="N116" t="s">
        <v>30</v>
      </c>
    </row>
    <row r="117" spans="1:14" x14ac:dyDescent="0.2">
      <c r="A117" t="s">
        <v>156</v>
      </c>
      <c r="B117" t="s">
        <v>32</v>
      </c>
      <c r="C117">
        <v>185.06</v>
      </c>
      <c r="D117">
        <v>2</v>
      </c>
      <c r="E117">
        <v>86.24</v>
      </c>
      <c r="F117">
        <v>39</v>
      </c>
      <c r="G117">
        <v>36.6</v>
      </c>
      <c r="H117">
        <v>4</v>
      </c>
      <c r="I117" t="s">
        <v>33</v>
      </c>
      <c r="J117">
        <v>0</v>
      </c>
      <c r="K117">
        <v>50.9</v>
      </c>
      <c r="L117">
        <v>15.1</v>
      </c>
      <c r="M117" t="s">
        <v>55</v>
      </c>
      <c r="N117" t="s">
        <v>43</v>
      </c>
    </row>
    <row r="118" spans="1:14" x14ac:dyDescent="0.2">
      <c r="A118" t="s">
        <v>157</v>
      </c>
      <c r="B118" t="s">
        <v>32</v>
      </c>
      <c r="C118">
        <v>701.44</v>
      </c>
      <c r="D118">
        <v>10</v>
      </c>
      <c r="E118">
        <v>70.03</v>
      </c>
      <c r="F118">
        <v>21</v>
      </c>
      <c r="G118">
        <v>11.1</v>
      </c>
      <c r="H118">
        <v>5</v>
      </c>
      <c r="I118" t="s">
        <v>33</v>
      </c>
      <c r="J118">
        <v>0</v>
      </c>
      <c r="K118">
        <v>54.4</v>
      </c>
      <c r="L118">
        <v>21</v>
      </c>
      <c r="M118" t="s">
        <v>53</v>
      </c>
      <c r="N118" t="s">
        <v>43</v>
      </c>
    </row>
    <row r="119" spans="1:14" x14ac:dyDescent="0.2">
      <c r="A119" t="s">
        <v>158</v>
      </c>
      <c r="B119" t="s">
        <v>37</v>
      </c>
      <c r="C119">
        <v>168.12</v>
      </c>
      <c r="D119">
        <v>3</v>
      </c>
      <c r="E119">
        <v>57.34</v>
      </c>
      <c r="F119">
        <v>122</v>
      </c>
      <c r="G119">
        <v>21.8</v>
      </c>
      <c r="H119">
        <v>3</v>
      </c>
      <c r="I119" t="s">
        <v>33</v>
      </c>
      <c r="J119">
        <v>0</v>
      </c>
      <c r="K119">
        <v>29.6</v>
      </c>
      <c r="L119">
        <v>3.8</v>
      </c>
      <c r="M119" t="s">
        <v>55</v>
      </c>
      <c r="N119" t="s">
        <v>43</v>
      </c>
    </row>
    <row r="120" spans="1:14" x14ac:dyDescent="0.2">
      <c r="A120" t="s">
        <v>159</v>
      </c>
      <c r="B120" t="s">
        <v>32</v>
      </c>
      <c r="C120">
        <v>163.84</v>
      </c>
      <c r="D120">
        <v>3</v>
      </c>
      <c r="E120">
        <v>52.36</v>
      </c>
      <c r="F120">
        <v>52</v>
      </c>
      <c r="G120">
        <v>34.6</v>
      </c>
      <c r="H120">
        <v>5</v>
      </c>
      <c r="I120" t="s">
        <v>24</v>
      </c>
      <c r="J120">
        <v>9</v>
      </c>
      <c r="K120">
        <v>55.2</v>
      </c>
      <c r="L120">
        <v>15.1</v>
      </c>
      <c r="M120" t="s">
        <v>25</v>
      </c>
      <c r="N120" t="s">
        <v>30</v>
      </c>
    </row>
    <row r="121" spans="1:14" x14ac:dyDescent="0.2">
      <c r="A121" t="s">
        <v>160</v>
      </c>
      <c r="B121" t="s">
        <v>58</v>
      </c>
      <c r="C121">
        <v>468.38</v>
      </c>
      <c r="D121">
        <v>6</v>
      </c>
      <c r="E121">
        <v>83.89</v>
      </c>
      <c r="F121">
        <v>28</v>
      </c>
      <c r="G121">
        <v>16.2</v>
      </c>
      <c r="H121">
        <v>5</v>
      </c>
      <c r="I121" t="s">
        <v>24</v>
      </c>
      <c r="J121">
        <v>8</v>
      </c>
      <c r="K121">
        <v>55.7</v>
      </c>
      <c r="L121">
        <v>7.8</v>
      </c>
      <c r="M121" t="s">
        <v>47</v>
      </c>
      <c r="N121" t="s">
        <v>45</v>
      </c>
    </row>
    <row r="122" spans="1:14" x14ac:dyDescent="0.2">
      <c r="A122" t="s">
        <v>161</v>
      </c>
      <c r="B122" t="s">
        <v>32</v>
      </c>
      <c r="C122">
        <v>42.38</v>
      </c>
      <c r="D122">
        <v>1</v>
      </c>
      <c r="E122">
        <v>45.49</v>
      </c>
      <c r="F122">
        <v>54</v>
      </c>
      <c r="G122">
        <v>18.899999999999999</v>
      </c>
      <c r="H122">
        <v>2</v>
      </c>
      <c r="I122" t="s">
        <v>24</v>
      </c>
      <c r="J122">
        <v>5</v>
      </c>
      <c r="K122">
        <v>22</v>
      </c>
      <c r="L122">
        <v>4.5</v>
      </c>
      <c r="M122" t="s">
        <v>55</v>
      </c>
      <c r="N122" t="s">
        <v>45</v>
      </c>
    </row>
    <row r="123" spans="1:14" x14ac:dyDescent="0.2">
      <c r="A123" t="s">
        <v>162</v>
      </c>
      <c r="B123" t="s">
        <v>32</v>
      </c>
      <c r="C123">
        <v>186.2</v>
      </c>
      <c r="D123">
        <v>6</v>
      </c>
      <c r="E123">
        <v>29.14</v>
      </c>
      <c r="F123">
        <v>24</v>
      </c>
      <c r="G123">
        <v>38.799999999999997</v>
      </c>
      <c r="H123">
        <v>2</v>
      </c>
      <c r="I123" t="s">
        <v>33</v>
      </c>
      <c r="J123">
        <v>0</v>
      </c>
      <c r="K123">
        <v>36.5</v>
      </c>
      <c r="L123">
        <v>12.8</v>
      </c>
      <c r="M123" t="s">
        <v>25</v>
      </c>
      <c r="N123" t="s">
        <v>45</v>
      </c>
    </row>
    <row r="124" spans="1:14" x14ac:dyDescent="0.2">
      <c r="A124" t="s">
        <v>163</v>
      </c>
      <c r="B124" t="s">
        <v>23</v>
      </c>
      <c r="C124">
        <v>169.8</v>
      </c>
      <c r="D124">
        <v>4</v>
      </c>
      <c r="E124">
        <v>39.97</v>
      </c>
      <c r="F124">
        <v>12</v>
      </c>
      <c r="G124">
        <v>32.4</v>
      </c>
      <c r="H124">
        <v>5</v>
      </c>
      <c r="I124" t="s">
        <v>24</v>
      </c>
      <c r="J124">
        <v>8</v>
      </c>
      <c r="K124">
        <v>39.5</v>
      </c>
      <c r="L124">
        <v>14.7</v>
      </c>
      <c r="M124" t="s">
        <v>25</v>
      </c>
      <c r="N124" t="s">
        <v>26</v>
      </c>
    </row>
    <row r="125" spans="1:14" x14ac:dyDescent="0.2">
      <c r="A125" t="s">
        <v>164</v>
      </c>
      <c r="B125" t="s">
        <v>37</v>
      </c>
      <c r="C125">
        <v>125.11</v>
      </c>
      <c r="D125">
        <v>2</v>
      </c>
      <c r="E125">
        <v>59.65</v>
      </c>
      <c r="F125">
        <v>57</v>
      </c>
      <c r="G125">
        <v>44</v>
      </c>
      <c r="H125">
        <v>5</v>
      </c>
      <c r="I125" t="s">
        <v>24</v>
      </c>
      <c r="J125">
        <v>6</v>
      </c>
      <c r="K125">
        <v>56.4</v>
      </c>
      <c r="L125">
        <v>15.8</v>
      </c>
      <c r="M125" t="s">
        <v>47</v>
      </c>
      <c r="N125" t="s">
        <v>43</v>
      </c>
    </row>
    <row r="126" spans="1:14" x14ac:dyDescent="0.2">
      <c r="A126" t="s">
        <v>165</v>
      </c>
      <c r="B126" t="s">
        <v>37</v>
      </c>
      <c r="C126">
        <v>538.51</v>
      </c>
      <c r="D126">
        <v>7</v>
      </c>
      <c r="E126">
        <v>82.84</v>
      </c>
      <c r="F126">
        <v>25</v>
      </c>
      <c r="G126">
        <v>29.9</v>
      </c>
      <c r="H126">
        <v>4</v>
      </c>
      <c r="I126" t="s">
        <v>24</v>
      </c>
      <c r="J126">
        <v>2</v>
      </c>
      <c r="K126">
        <v>51.4</v>
      </c>
      <c r="L126">
        <v>8.3000000000000007</v>
      </c>
      <c r="M126" t="s">
        <v>39</v>
      </c>
      <c r="N126" t="s">
        <v>26</v>
      </c>
    </row>
    <row r="127" spans="1:14" x14ac:dyDescent="0.2">
      <c r="A127" t="s">
        <v>166</v>
      </c>
      <c r="B127" t="s">
        <v>23</v>
      </c>
      <c r="C127">
        <v>190.89</v>
      </c>
      <c r="D127">
        <v>4</v>
      </c>
      <c r="E127">
        <v>50.97</v>
      </c>
      <c r="F127">
        <v>39</v>
      </c>
      <c r="G127">
        <v>48</v>
      </c>
      <c r="H127">
        <v>2</v>
      </c>
      <c r="I127" t="s">
        <v>33</v>
      </c>
      <c r="J127">
        <v>0</v>
      </c>
      <c r="K127">
        <v>39.6</v>
      </c>
      <c r="L127">
        <v>6.6</v>
      </c>
      <c r="M127" t="s">
        <v>53</v>
      </c>
      <c r="N127" t="s">
        <v>30</v>
      </c>
    </row>
    <row r="128" spans="1:14" x14ac:dyDescent="0.2">
      <c r="A128" t="s">
        <v>167</v>
      </c>
      <c r="B128" t="s">
        <v>32</v>
      </c>
      <c r="C128">
        <v>342.28</v>
      </c>
      <c r="D128">
        <v>7</v>
      </c>
      <c r="E128">
        <v>45.89</v>
      </c>
      <c r="F128">
        <v>26</v>
      </c>
      <c r="G128">
        <v>17.8</v>
      </c>
      <c r="H128">
        <v>5</v>
      </c>
      <c r="I128" t="s">
        <v>33</v>
      </c>
      <c r="J128">
        <v>0</v>
      </c>
      <c r="K128">
        <v>46.4</v>
      </c>
      <c r="L128">
        <v>17.7</v>
      </c>
      <c r="M128" t="s">
        <v>25</v>
      </c>
      <c r="N128" t="s">
        <v>43</v>
      </c>
    </row>
    <row r="129" spans="1:14" x14ac:dyDescent="0.2">
      <c r="A129" t="s">
        <v>168</v>
      </c>
      <c r="B129" t="s">
        <v>32</v>
      </c>
      <c r="C129">
        <v>292.95</v>
      </c>
      <c r="D129">
        <v>5</v>
      </c>
      <c r="E129">
        <v>57.07</v>
      </c>
      <c r="F129">
        <v>24</v>
      </c>
      <c r="G129">
        <v>28.7</v>
      </c>
      <c r="H129">
        <v>2</v>
      </c>
      <c r="I129" t="s">
        <v>33</v>
      </c>
      <c r="J129">
        <v>0</v>
      </c>
      <c r="K129">
        <v>46.7</v>
      </c>
      <c r="L129">
        <v>15.6</v>
      </c>
      <c r="M129" t="s">
        <v>47</v>
      </c>
      <c r="N129" t="s">
        <v>45</v>
      </c>
    </row>
    <row r="130" spans="1:14" x14ac:dyDescent="0.2">
      <c r="A130" t="s">
        <v>169</v>
      </c>
      <c r="B130" t="s">
        <v>37</v>
      </c>
      <c r="C130">
        <v>167.01</v>
      </c>
      <c r="D130">
        <v>4</v>
      </c>
      <c r="E130">
        <v>42.71</v>
      </c>
      <c r="F130">
        <v>27</v>
      </c>
      <c r="G130">
        <v>50.4</v>
      </c>
      <c r="H130">
        <v>2</v>
      </c>
      <c r="I130" t="s">
        <v>33</v>
      </c>
      <c r="J130">
        <v>0</v>
      </c>
      <c r="K130">
        <v>33.6</v>
      </c>
      <c r="L130">
        <v>10.6</v>
      </c>
      <c r="M130" t="s">
        <v>25</v>
      </c>
      <c r="N130" t="s">
        <v>43</v>
      </c>
    </row>
    <row r="131" spans="1:14" x14ac:dyDescent="0.2">
      <c r="A131" t="s">
        <v>170</v>
      </c>
      <c r="B131" t="s">
        <v>58</v>
      </c>
      <c r="C131">
        <v>334.83</v>
      </c>
      <c r="D131">
        <v>5</v>
      </c>
      <c r="E131">
        <v>63.41</v>
      </c>
      <c r="F131">
        <v>2</v>
      </c>
      <c r="G131">
        <v>11.6</v>
      </c>
      <c r="H131">
        <v>4</v>
      </c>
      <c r="I131" t="s">
        <v>24</v>
      </c>
      <c r="J131">
        <v>4</v>
      </c>
      <c r="K131">
        <v>60.4</v>
      </c>
      <c r="L131">
        <v>11.4</v>
      </c>
      <c r="M131" t="s">
        <v>25</v>
      </c>
      <c r="N131" t="s">
        <v>26</v>
      </c>
    </row>
    <row r="132" spans="1:14" x14ac:dyDescent="0.2">
      <c r="A132" t="s">
        <v>171</v>
      </c>
      <c r="B132" t="s">
        <v>23</v>
      </c>
      <c r="C132">
        <v>558.74</v>
      </c>
      <c r="D132">
        <v>9</v>
      </c>
      <c r="E132">
        <v>60.61</v>
      </c>
      <c r="F132">
        <v>23</v>
      </c>
      <c r="G132">
        <v>18.2</v>
      </c>
      <c r="H132">
        <v>4</v>
      </c>
      <c r="I132" t="s">
        <v>24</v>
      </c>
      <c r="J132">
        <v>7</v>
      </c>
      <c r="K132">
        <v>47.1</v>
      </c>
      <c r="L132">
        <v>13.9</v>
      </c>
      <c r="M132" t="s">
        <v>25</v>
      </c>
      <c r="N132" t="s">
        <v>26</v>
      </c>
    </row>
    <row r="133" spans="1:14" x14ac:dyDescent="0.2">
      <c r="A133" t="s">
        <v>172</v>
      </c>
      <c r="B133" t="s">
        <v>37</v>
      </c>
      <c r="C133">
        <v>127.32</v>
      </c>
      <c r="D133">
        <v>2</v>
      </c>
      <c r="E133">
        <v>68.510000000000005</v>
      </c>
      <c r="F133">
        <v>213</v>
      </c>
      <c r="G133">
        <v>10.1</v>
      </c>
      <c r="H133">
        <v>1</v>
      </c>
      <c r="I133" t="s">
        <v>33</v>
      </c>
      <c r="J133">
        <v>0</v>
      </c>
      <c r="K133">
        <v>27.1</v>
      </c>
      <c r="L133">
        <v>2.4</v>
      </c>
      <c r="M133" t="s">
        <v>47</v>
      </c>
      <c r="N133" t="s">
        <v>45</v>
      </c>
    </row>
    <row r="134" spans="1:14" x14ac:dyDescent="0.2">
      <c r="A134" t="s">
        <v>173</v>
      </c>
      <c r="B134" t="s">
        <v>37</v>
      </c>
      <c r="C134">
        <v>356.5</v>
      </c>
      <c r="D134">
        <v>5</v>
      </c>
      <c r="E134">
        <v>72.41</v>
      </c>
      <c r="F134">
        <v>32</v>
      </c>
      <c r="G134">
        <v>6</v>
      </c>
      <c r="H134">
        <v>3</v>
      </c>
      <c r="I134" t="s">
        <v>24</v>
      </c>
      <c r="J134">
        <v>5</v>
      </c>
      <c r="K134">
        <v>42.4</v>
      </c>
      <c r="L134">
        <v>14.9</v>
      </c>
      <c r="M134" t="s">
        <v>47</v>
      </c>
      <c r="N134" t="s">
        <v>30</v>
      </c>
    </row>
    <row r="135" spans="1:14" x14ac:dyDescent="0.2">
      <c r="A135" t="s">
        <v>174</v>
      </c>
      <c r="B135" t="s">
        <v>23</v>
      </c>
      <c r="C135">
        <v>186.47</v>
      </c>
      <c r="D135">
        <v>2</v>
      </c>
      <c r="E135">
        <v>96.13</v>
      </c>
      <c r="F135">
        <v>23</v>
      </c>
      <c r="G135">
        <v>16.7</v>
      </c>
      <c r="H135">
        <v>3</v>
      </c>
      <c r="I135" t="s">
        <v>33</v>
      </c>
      <c r="J135">
        <v>0</v>
      </c>
      <c r="K135">
        <v>80.2</v>
      </c>
      <c r="L135">
        <v>17.100000000000001</v>
      </c>
      <c r="M135" t="s">
        <v>39</v>
      </c>
      <c r="N135" t="s">
        <v>26</v>
      </c>
    </row>
    <row r="136" spans="1:14" x14ac:dyDescent="0.2">
      <c r="A136" t="s">
        <v>175</v>
      </c>
      <c r="B136" t="s">
        <v>28</v>
      </c>
      <c r="C136">
        <v>714.68</v>
      </c>
      <c r="D136">
        <v>9</v>
      </c>
      <c r="E136">
        <v>79.180000000000007</v>
      </c>
      <c r="F136">
        <v>24</v>
      </c>
      <c r="G136">
        <v>14.6</v>
      </c>
      <c r="H136">
        <v>4</v>
      </c>
      <c r="I136" t="s">
        <v>24</v>
      </c>
      <c r="J136">
        <v>14</v>
      </c>
      <c r="K136">
        <v>67.8</v>
      </c>
      <c r="L136">
        <v>12.3</v>
      </c>
      <c r="M136" t="s">
        <v>29</v>
      </c>
      <c r="N136" t="s">
        <v>26</v>
      </c>
    </row>
    <row r="137" spans="1:14" x14ac:dyDescent="0.2">
      <c r="A137" t="s">
        <v>176</v>
      </c>
      <c r="B137" t="s">
        <v>23</v>
      </c>
      <c r="C137">
        <v>36.21</v>
      </c>
      <c r="D137">
        <v>1</v>
      </c>
      <c r="E137">
        <v>37.39</v>
      </c>
      <c r="F137">
        <v>142</v>
      </c>
      <c r="G137">
        <v>23.6</v>
      </c>
      <c r="H137">
        <v>2</v>
      </c>
      <c r="I137" t="s">
        <v>33</v>
      </c>
      <c r="J137">
        <v>0</v>
      </c>
      <c r="K137">
        <v>24</v>
      </c>
      <c r="L137">
        <v>0</v>
      </c>
      <c r="M137" t="s">
        <v>53</v>
      </c>
      <c r="N137" t="s">
        <v>30</v>
      </c>
    </row>
    <row r="138" spans="1:14" x14ac:dyDescent="0.2">
      <c r="A138" t="s">
        <v>177</v>
      </c>
      <c r="B138" t="s">
        <v>58</v>
      </c>
      <c r="C138">
        <v>157.46</v>
      </c>
      <c r="D138">
        <v>4</v>
      </c>
      <c r="E138">
        <v>41.17</v>
      </c>
      <c r="F138">
        <v>36</v>
      </c>
      <c r="G138">
        <v>28.3</v>
      </c>
      <c r="H138">
        <v>4</v>
      </c>
      <c r="I138" t="s">
        <v>24</v>
      </c>
      <c r="J138">
        <v>7</v>
      </c>
      <c r="K138">
        <v>38.5</v>
      </c>
      <c r="L138">
        <v>9.1999999999999993</v>
      </c>
      <c r="M138" t="s">
        <v>29</v>
      </c>
      <c r="N138" t="s">
        <v>26</v>
      </c>
    </row>
    <row r="139" spans="1:14" x14ac:dyDescent="0.2">
      <c r="A139" t="s">
        <v>178</v>
      </c>
      <c r="B139" t="s">
        <v>35</v>
      </c>
      <c r="C139">
        <v>103.19</v>
      </c>
      <c r="D139">
        <v>2</v>
      </c>
      <c r="E139">
        <v>50.5</v>
      </c>
      <c r="F139">
        <v>197</v>
      </c>
      <c r="G139">
        <v>18.8</v>
      </c>
      <c r="H139">
        <v>2</v>
      </c>
      <c r="I139" t="s">
        <v>33</v>
      </c>
      <c r="J139">
        <v>0</v>
      </c>
      <c r="K139">
        <v>24.6</v>
      </c>
      <c r="L139">
        <v>3.9</v>
      </c>
      <c r="M139" t="s">
        <v>47</v>
      </c>
      <c r="N139" t="s">
        <v>45</v>
      </c>
    </row>
    <row r="140" spans="1:14" x14ac:dyDescent="0.2">
      <c r="A140" t="s">
        <v>179</v>
      </c>
      <c r="B140" t="s">
        <v>23</v>
      </c>
      <c r="C140">
        <v>632.67999999999995</v>
      </c>
      <c r="D140">
        <v>11</v>
      </c>
      <c r="E140">
        <v>61.85</v>
      </c>
      <c r="F140">
        <v>8</v>
      </c>
      <c r="G140">
        <v>7.1</v>
      </c>
      <c r="H140">
        <v>3</v>
      </c>
      <c r="I140" t="s">
        <v>24</v>
      </c>
      <c r="J140">
        <v>13</v>
      </c>
      <c r="K140">
        <v>60</v>
      </c>
      <c r="L140">
        <v>19.100000000000001</v>
      </c>
      <c r="M140" t="s">
        <v>39</v>
      </c>
      <c r="N140" t="s">
        <v>30</v>
      </c>
    </row>
    <row r="141" spans="1:14" x14ac:dyDescent="0.2">
      <c r="A141" t="s">
        <v>180</v>
      </c>
      <c r="B141" t="s">
        <v>28</v>
      </c>
      <c r="C141">
        <v>233.35</v>
      </c>
      <c r="D141">
        <v>4</v>
      </c>
      <c r="E141">
        <v>58.72</v>
      </c>
      <c r="F141">
        <v>43</v>
      </c>
      <c r="G141">
        <v>28.7</v>
      </c>
      <c r="H141">
        <v>5</v>
      </c>
      <c r="I141" t="s">
        <v>24</v>
      </c>
      <c r="J141">
        <v>6</v>
      </c>
      <c r="K141">
        <v>46.4</v>
      </c>
      <c r="L141">
        <v>7.5</v>
      </c>
      <c r="M141" t="s">
        <v>29</v>
      </c>
      <c r="N141" t="s">
        <v>26</v>
      </c>
    </row>
    <row r="142" spans="1:14" x14ac:dyDescent="0.2">
      <c r="A142" t="s">
        <v>181</v>
      </c>
      <c r="B142" t="s">
        <v>28</v>
      </c>
      <c r="C142">
        <v>52.18</v>
      </c>
      <c r="D142">
        <v>1</v>
      </c>
      <c r="E142">
        <v>54.27</v>
      </c>
      <c r="F142">
        <v>34</v>
      </c>
      <c r="G142">
        <v>30.9</v>
      </c>
      <c r="H142">
        <v>2</v>
      </c>
      <c r="I142" t="s">
        <v>33</v>
      </c>
      <c r="J142">
        <v>0</v>
      </c>
      <c r="K142">
        <v>43.9</v>
      </c>
      <c r="L142">
        <v>10.199999999999999</v>
      </c>
      <c r="M142" t="s">
        <v>39</v>
      </c>
      <c r="N142" t="s">
        <v>26</v>
      </c>
    </row>
    <row r="143" spans="1:14" x14ac:dyDescent="0.2">
      <c r="A143" t="s">
        <v>182</v>
      </c>
      <c r="B143" t="s">
        <v>23</v>
      </c>
      <c r="C143">
        <v>405.97</v>
      </c>
      <c r="D143">
        <v>5</v>
      </c>
      <c r="E143">
        <v>76.22</v>
      </c>
      <c r="F143">
        <v>38</v>
      </c>
      <c r="G143">
        <v>12.4</v>
      </c>
      <c r="H143">
        <v>4</v>
      </c>
      <c r="I143" t="s">
        <v>33</v>
      </c>
      <c r="J143">
        <v>0</v>
      </c>
      <c r="K143">
        <v>53.5</v>
      </c>
      <c r="L143">
        <v>10.1</v>
      </c>
      <c r="M143" t="s">
        <v>29</v>
      </c>
      <c r="N143" t="s">
        <v>40</v>
      </c>
    </row>
    <row r="144" spans="1:14" x14ac:dyDescent="0.2">
      <c r="A144" t="s">
        <v>183</v>
      </c>
      <c r="B144" t="s">
        <v>58</v>
      </c>
      <c r="C144">
        <v>239.27</v>
      </c>
      <c r="D144">
        <v>6</v>
      </c>
      <c r="E144">
        <v>42.15</v>
      </c>
      <c r="F144">
        <v>49</v>
      </c>
      <c r="G144">
        <v>40.299999999999997</v>
      </c>
      <c r="H144">
        <v>4</v>
      </c>
      <c r="I144" t="s">
        <v>24</v>
      </c>
      <c r="J144">
        <v>5</v>
      </c>
      <c r="K144">
        <v>51.9</v>
      </c>
      <c r="L144">
        <v>14.7</v>
      </c>
      <c r="M144" t="s">
        <v>47</v>
      </c>
      <c r="N144" t="s">
        <v>43</v>
      </c>
    </row>
    <row r="145" spans="1:14" x14ac:dyDescent="0.2">
      <c r="A145" t="s">
        <v>184</v>
      </c>
      <c r="B145" t="s">
        <v>23</v>
      </c>
      <c r="C145">
        <v>221.72</v>
      </c>
      <c r="D145">
        <v>4</v>
      </c>
      <c r="E145">
        <v>59.27</v>
      </c>
      <c r="F145">
        <v>139</v>
      </c>
      <c r="G145">
        <v>18.899999999999999</v>
      </c>
      <c r="H145">
        <v>1</v>
      </c>
      <c r="I145" t="s">
        <v>33</v>
      </c>
      <c r="J145">
        <v>0</v>
      </c>
      <c r="K145">
        <v>26.8</v>
      </c>
      <c r="L145">
        <v>6.4</v>
      </c>
      <c r="M145" t="s">
        <v>39</v>
      </c>
      <c r="N145" t="s">
        <v>43</v>
      </c>
    </row>
    <row r="146" spans="1:14" x14ac:dyDescent="0.2">
      <c r="A146" t="s">
        <v>185</v>
      </c>
      <c r="B146" t="s">
        <v>23</v>
      </c>
      <c r="C146">
        <v>337.62</v>
      </c>
      <c r="D146">
        <v>6</v>
      </c>
      <c r="E146">
        <v>54.07</v>
      </c>
      <c r="F146">
        <v>72</v>
      </c>
      <c r="G146">
        <v>25.3</v>
      </c>
      <c r="H146">
        <v>4</v>
      </c>
      <c r="I146" t="s">
        <v>24</v>
      </c>
      <c r="J146">
        <v>5</v>
      </c>
      <c r="K146">
        <v>32.299999999999997</v>
      </c>
      <c r="L146">
        <v>6.3</v>
      </c>
      <c r="M146" t="s">
        <v>29</v>
      </c>
      <c r="N146" t="s">
        <v>45</v>
      </c>
    </row>
    <row r="147" spans="1:14" x14ac:dyDescent="0.2">
      <c r="A147" t="s">
        <v>186</v>
      </c>
      <c r="B147" t="s">
        <v>37</v>
      </c>
      <c r="C147">
        <v>31.25</v>
      </c>
      <c r="D147">
        <v>1</v>
      </c>
      <c r="E147">
        <v>32.6</v>
      </c>
      <c r="F147">
        <v>109</v>
      </c>
      <c r="G147">
        <v>32.1</v>
      </c>
      <c r="H147">
        <v>2</v>
      </c>
      <c r="I147" t="s">
        <v>33</v>
      </c>
      <c r="J147">
        <v>0</v>
      </c>
      <c r="K147">
        <v>33</v>
      </c>
      <c r="L147">
        <v>1.3</v>
      </c>
      <c r="M147" t="s">
        <v>53</v>
      </c>
      <c r="N147" t="s">
        <v>40</v>
      </c>
    </row>
    <row r="148" spans="1:14" x14ac:dyDescent="0.2">
      <c r="A148" t="s">
        <v>187</v>
      </c>
      <c r="B148" t="s">
        <v>35</v>
      </c>
      <c r="C148">
        <v>520.37</v>
      </c>
      <c r="D148">
        <v>8</v>
      </c>
      <c r="E148">
        <v>62.46</v>
      </c>
      <c r="F148">
        <v>32</v>
      </c>
      <c r="G148">
        <v>9.6</v>
      </c>
      <c r="H148">
        <v>4</v>
      </c>
      <c r="I148" t="s">
        <v>24</v>
      </c>
      <c r="J148">
        <v>14</v>
      </c>
      <c r="K148">
        <v>62.6</v>
      </c>
      <c r="L148">
        <v>29.2</v>
      </c>
      <c r="M148" t="s">
        <v>29</v>
      </c>
      <c r="N148" t="s">
        <v>40</v>
      </c>
    </row>
    <row r="149" spans="1:14" x14ac:dyDescent="0.2">
      <c r="A149" t="s">
        <v>188</v>
      </c>
      <c r="B149" t="s">
        <v>58</v>
      </c>
      <c r="C149">
        <v>334.5</v>
      </c>
      <c r="D149">
        <v>6</v>
      </c>
      <c r="E149">
        <v>58.7</v>
      </c>
      <c r="F149">
        <v>35</v>
      </c>
      <c r="G149">
        <v>10.9</v>
      </c>
      <c r="H149">
        <v>3</v>
      </c>
      <c r="I149" t="s">
        <v>24</v>
      </c>
      <c r="J149">
        <v>18</v>
      </c>
      <c r="K149">
        <v>60.9</v>
      </c>
      <c r="L149">
        <v>9.4</v>
      </c>
      <c r="M149" t="s">
        <v>39</v>
      </c>
      <c r="N149" t="s">
        <v>45</v>
      </c>
    </row>
    <row r="150" spans="1:14" x14ac:dyDescent="0.2">
      <c r="A150" t="s">
        <v>189</v>
      </c>
      <c r="B150" t="s">
        <v>37</v>
      </c>
      <c r="C150">
        <v>333.33</v>
      </c>
      <c r="D150">
        <v>6</v>
      </c>
      <c r="E150">
        <v>54.21</v>
      </c>
      <c r="F150">
        <v>38</v>
      </c>
      <c r="G150">
        <v>0</v>
      </c>
      <c r="H150">
        <v>5</v>
      </c>
      <c r="I150" t="s">
        <v>24</v>
      </c>
      <c r="J150">
        <v>9</v>
      </c>
      <c r="K150">
        <v>58.4</v>
      </c>
      <c r="L150">
        <v>16.7</v>
      </c>
      <c r="M150" t="s">
        <v>53</v>
      </c>
      <c r="N150" t="s">
        <v>43</v>
      </c>
    </row>
    <row r="151" spans="1:14" x14ac:dyDescent="0.2">
      <c r="A151" t="s">
        <v>190</v>
      </c>
      <c r="B151" t="s">
        <v>23</v>
      </c>
      <c r="C151">
        <v>279.35000000000002</v>
      </c>
      <c r="D151">
        <v>4</v>
      </c>
      <c r="E151">
        <v>75.2</v>
      </c>
      <c r="F151">
        <v>23</v>
      </c>
      <c r="G151">
        <v>9</v>
      </c>
      <c r="H151">
        <v>4</v>
      </c>
      <c r="I151" t="s">
        <v>24</v>
      </c>
      <c r="J151">
        <v>10</v>
      </c>
      <c r="K151">
        <v>64.3</v>
      </c>
      <c r="L151">
        <v>3.2</v>
      </c>
      <c r="M151" t="s">
        <v>47</v>
      </c>
      <c r="N151" t="s">
        <v>26</v>
      </c>
    </row>
    <row r="152" spans="1:14" x14ac:dyDescent="0.2">
      <c r="A152" t="s">
        <v>191</v>
      </c>
      <c r="B152" t="s">
        <v>28</v>
      </c>
      <c r="C152">
        <v>99.74</v>
      </c>
      <c r="D152">
        <v>2</v>
      </c>
      <c r="E152">
        <v>48.23</v>
      </c>
      <c r="F152">
        <v>14</v>
      </c>
      <c r="G152">
        <v>32.799999999999997</v>
      </c>
      <c r="H152">
        <v>5</v>
      </c>
      <c r="I152" t="s">
        <v>33</v>
      </c>
      <c r="J152">
        <v>0</v>
      </c>
      <c r="K152">
        <v>52.6</v>
      </c>
      <c r="L152">
        <v>7.7</v>
      </c>
      <c r="M152" t="s">
        <v>25</v>
      </c>
      <c r="N152" t="s">
        <v>45</v>
      </c>
    </row>
    <row r="153" spans="1:14" x14ac:dyDescent="0.2">
      <c r="A153" t="s">
        <v>192</v>
      </c>
      <c r="B153" t="s">
        <v>37</v>
      </c>
      <c r="C153">
        <v>117.81</v>
      </c>
      <c r="D153">
        <v>3</v>
      </c>
      <c r="E153">
        <v>38.28</v>
      </c>
      <c r="F153">
        <v>55</v>
      </c>
      <c r="G153">
        <v>53.5</v>
      </c>
      <c r="H153">
        <v>2</v>
      </c>
      <c r="I153" t="s">
        <v>33</v>
      </c>
      <c r="J153">
        <v>0</v>
      </c>
      <c r="K153">
        <v>52.6</v>
      </c>
      <c r="L153">
        <v>3.1</v>
      </c>
      <c r="M153" t="s">
        <v>55</v>
      </c>
      <c r="N153" t="s">
        <v>30</v>
      </c>
    </row>
    <row r="154" spans="1:14" x14ac:dyDescent="0.2">
      <c r="A154" t="s">
        <v>193</v>
      </c>
      <c r="B154" t="s">
        <v>37</v>
      </c>
      <c r="C154">
        <v>262.33</v>
      </c>
      <c r="D154">
        <v>5</v>
      </c>
      <c r="E154">
        <v>50.73</v>
      </c>
      <c r="F154">
        <v>44</v>
      </c>
      <c r="G154">
        <v>17.7</v>
      </c>
      <c r="H154">
        <v>5</v>
      </c>
      <c r="I154" t="s">
        <v>33</v>
      </c>
      <c r="J154">
        <v>0</v>
      </c>
      <c r="K154">
        <v>62</v>
      </c>
      <c r="L154">
        <v>5.0999999999999996</v>
      </c>
      <c r="M154" t="s">
        <v>47</v>
      </c>
      <c r="N154" t="s">
        <v>43</v>
      </c>
    </row>
    <row r="155" spans="1:14" x14ac:dyDescent="0.2">
      <c r="A155" t="s">
        <v>194</v>
      </c>
      <c r="B155" t="s">
        <v>58</v>
      </c>
      <c r="C155">
        <v>337.46</v>
      </c>
      <c r="D155">
        <v>6</v>
      </c>
      <c r="E155">
        <v>54.54</v>
      </c>
      <c r="F155">
        <v>70</v>
      </c>
      <c r="G155">
        <v>28.5</v>
      </c>
      <c r="H155">
        <v>6</v>
      </c>
      <c r="I155" t="s">
        <v>24</v>
      </c>
      <c r="J155">
        <v>11</v>
      </c>
      <c r="K155">
        <v>58</v>
      </c>
      <c r="L155">
        <v>17.100000000000001</v>
      </c>
      <c r="M155" t="s">
        <v>29</v>
      </c>
      <c r="N155" t="s">
        <v>40</v>
      </c>
    </row>
    <row r="156" spans="1:14" x14ac:dyDescent="0.2">
      <c r="A156" t="s">
        <v>195</v>
      </c>
      <c r="B156" t="s">
        <v>28</v>
      </c>
      <c r="C156">
        <v>258.52</v>
      </c>
      <c r="D156">
        <v>4</v>
      </c>
      <c r="E156">
        <v>63.99</v>
      </c>
      <c r="F156">
        <v>50</v>
      </c>
      <c r="G156">
        <v>30.2</v>
      </c>
      <c r="H156">
        <v>4</v>
      </c>
      <c r="I156" t="s">
        <v>24</v>
      </c>
      <c r="J156">
        <v>4</v>
      </c>
      <c r="K156">
        <v>35.799999999999997</v>
      </c>
      <c r="L156">
        <v>18.3</v>
      </c>
      <c r="M156" t="s">
        <v>25</v>
      </c>
      <c r="N156" t="s">
        <v>26</v>
      </c>
    </row>
    <row r="157" spans="1:14" x14ac:dyDescent="0.2">
      <c r="A157" t="s">
        <v>196</v>
      </c>
      <c r="B157" t="s">
        <v>23</v>
      </c>
      <c r="C157">
        <v>271.38</v>
      </c>
      <c r="D157">
        <v>7</v>
      </c>
      <c r="E157">
        <v>41.96</v>
      </c>
      <c r="F157">
        <v>18</v>
      </c>
      <c r="G157">
        <v>56</v>
      </c>
      <c r="H157">
        <v>2</v>
      </c>
      <c r="I157" t="s">
        <v>33</v>
      </c>
      <c r="J157">
        <v>0</v>
      </c>
      <c r="K157">
        <v>30.9</v>
      </c>
      <c r="L157">
        <v>15.8</v>
      </c>
      <c r="M157" t="s">
        <v>47</v>
      </c>
      <c r="N157" t="s">
        <v>43</v>
      </c>
    </row>
    <row r="158" spans="1:14" x14ac:dyDescent="0.2">
      <c r="A158" t="s">
        <v>197</v>
      </c>
      <c r="B158" t="s">
        <v>35</v>
      </c>
      <c r="C158">
        <v>115.93</v>
      </c>
      <c r="D158">
        <v>2</v>
      </c>
      <c r="E158">
        <v>54.79</v>
      </c>
      <c r="F158">
        <v>45</v>
      </c>
      <c r="G158">
        <v>34.9</v>
      </c>
      <c r="H158">
        <v>5</v>
      </c>
      <c r="I158" t="s">
        <v>24</v>
      </c>
      <c r="J158">
        <v>8</v>
      </c>
      <c r="K158">
        <v>66.2</v>
      </c>
      <c r="L158">
        <v>13.2</v>
      </c>
      <c r="M158" t="s">
        <v>47</v>
      </c>
      <c r="N158" t="s">
        <v>26</v>
      </c>
    </row>
    <row r="159" spans="1:14" x14ac:dyDescent="0.2">
      <c r="A159" t="s">
        <v>198</v>
      </c>
      <c r="B159" t="s">
        <v>32</v>
      </c>
      <c r="C159">
        <v>237.51</v>
      </c>
      <c r="D159">
        <v>6</v>
      </c>
      <c r="E159">
        <v>37.79</v>
      </c>
      <c r="F159">
        <v>61</v>
      </c>
      <c r="G159">
        <v>22.2</v>
      </c>
      <c r="H159">
        <v>2</v>
      </c>
      <c r="I159" t="s">
        <v>33</v>
      </c>
      <c r="J159">
        <v>0</v>
      </c>
      <c r="K159">
        <v>29.4</v>
      </c>
      <c r="L159">
        <v>11.5</v>
      </c>
      <c r="M159" t="s">
        <v>39</v>
      </c>
      <c r="N159" t="s">
        <v>43</v>
      </c>
    </row>
    <row r="160" spans="1:14" x14ac:dyDescent="0.2">
      <c r="A160" t="s">
        <v>199</v>
      </c>
      <c r="B160" t="s">
        <v>37</v>
      </c>
      <c r="C160">
        <v>320.99</v>
      </c>
      <c r="D160">
        <v>7</v>
      </c>
      <c r="E160">
        <v>47.47</v>
      </c>
      <c r="F160">
        <v>64</v>
      </c>
      <c r="G160">
        <v>31.6</v>
      </c>
      <c r="H160">
        <v>3</v>
      </c>
      <c r="I160" t="s">
        <v>33</v>
      </c>
      <c r="J160">
        <v>0</v>
      </c>
      <c r="K160">
        <v>38.700000000000003</v>
      </c>
      <c r="L160">
        <v>7.4</v>
      </c>
      <c r="M160" t="s">
        <v>53</v>
      </c>
      <c r="N160" t="s">
        <v>26</v>
      </c>
    </row>
    <row r="161" spans="1:14" x14ac:dyDescent="0.2">
      <c r="A161" t="s">
        <v>200</v>
      </c>
      <c r="B161" t="s">
        <v>32</v>
      </c>
      <c r="C161">
        <v>38.35</v>
      </c>
      <c r="D161">
        <v>1</v>
      </c>
      <c r="E161">
        <v>38.770000000000003</v>
      </c>
      <c r="F161">
        <v>190</v>
      </c>
      <c r="G161">
        <v>6.8</v>
      </c>
      <c r="H161">
        <v>1</v>
      </c>
      <c r="I161" t="s">
        <v>24</v>
      </c>
      <c r="J161">
        <v>6</v>
      </c>
      <c r="K161">
        <v>16.399999999999999</v>
      </c>
      <c r="L161">
        <v>7.8</v>
      </c>
      <c r="M161" t="s">
        <v>47</v>
      </c>
      <c r="N161" t="s">
        <v>26</v>
      </c>
    </row>
    <row r="162" spans="1:14" x14ac:dyDescent="0.2">
      <c r="A162" t="s">
        <v>201</v>
      </c>
      <c r="B162" t="s">
        <v>23</v>
      </c>
      <c r="C162">
        <v>136.44</v>
      </c>
      <c r="D162">
        <v>2</v>
      </c>
      <c r="E162">
        <v>69.12</v>
      </c>
      <c r="F162">
        <v>25</v>
      </c>
      <c r="G162">
        <v>24.4</v>
      </c>
      <c r="H162">
        <v>5</v>
      </c>
      <c r="I162" t="s">
        <v>33</v>
      </c>
      <c r="J162">
        <v>0</v>
      </c>
      <c r="K162">
        <v>53</v>
      </c>
      <c r="L162">
        <v>7.1</v>
      </c>
      <c r="M162" t="s">
        <v>25</v>
      </c>
      <c r="N162" t="s">
        <v>26</v>
      </c>
    </row>
    <row r="163" spans="1:14" x14ac:dyDescent="0.2">
      <c r="A163" t="s">
        <v>202</v>
      </c>
      <c r="B163" t="s">
        <v>35</v>
      </c>
      <c r="C163">
        <v>350.2</v>
      </c>
      <c r="D163">
        <v>6</v>
      </c>
      <c r="E163">
        <v>54.28</v>
      </c>
      <c r="F163">
        <v>17</v>
      </c>
      <c r="G163">
        <v>28.6</v>
      </c>
      <c r="H163">
        <v>4</v>
      </c>
      <c r="I163" t="s">
        <v>33</v>
      </c>
      <c r="J163">
        <v>0</v>
      </c>
      <c r="K163">
        <v>34.700000000000003</v>
      </c>
      <c r="L163">
        <v>13.4</v>
      </c>
      <c r="M163" t="s">
        <v>29</v>
      </c>
      <c r="N163" t="s">
        <v>30</v>
      </c>
    </row>
    <row r="164" spans="1:14" x14ac:dyDescent="0.2">
      <c r="A164" t="s">
        <v>203</v>
      </c>
      <c r="B164" t="s">
        <v>35</v>
      </c>
      <c r="C164">
        <v>198.19</v>
      </c>
      <c r="D164">
        <v>4</v>
      </c>
      <c r="E164">
        <v>49.68</v>
      </c>
      <c r="F164">
        <v>53</v>
      </c>
      <c r="G164">
        <v>34.9</v>
      </c>
      <c r="H164">
        <v>3</v>
      </c>
      <c r="I164" t="s">
        <v>24</v>
      </c>
      <c r="J164">
        <v>5</v>
      </c>
      <c r="K164">
        <v>39.700000000000003</v>
      </c>
      <c r="L164">
        <v>9.6999999999999993</v>
      </c>
      <c r="M164" t="s">
        <v>29</v>
      </c>
      <c r="N164" t="s">
        <v>45</v>
      </c>
    </row>
    <row r="165" spans="1:14" x14ac:dyDescent="0.2">
      <c r="A165" t="s">
        <v>204</v>
      </c>
      <c r="B165" t="s">
        <v>58</v>
      </c>
      <c r="C165">
        <v>127.01</v>
      </c>
      <c r="D165">
        <v>4</v>
      </c>
      <c r="E165">
        <v>33.97</v>
      </c>
      <c r="F165">
        <v>41</v>
      </c>
      <c r="G165">
        <v>50.5</v>
      </c>
      <c r="H165">
        <v>2</v>
      </c>
      <c r="I165" t="s">
        <v>24</v>
      </c>
      <c r="J165">
        <v>6</v>
      </c>
      <c r="K165">
        <v>37.200000000000003</v>
      </c>
      <c r="L165">
        <v>10.7</v>
      </c>
      <c r="M165" t="s">
        <v>47</v>
      </c>
      <c r="N165" t="s">
        <v>30</v>
      </c>
    </row>
    <row r="166" spans="1:14" x14ac:dyDescent="0.2">
      <c r="A166" t="s">
        <v>205</v>
      </c>
      <c r="B166" t="s">
        <v>37</v>
      </c>
      <c r="C166">
        <v>457.13</v>
      </c>
      <c r="D166">
        <v>9</v>
      </c>
      <c r="E166">
        <v>52.72</v>
      </c>
      <c r="F166">
        <v>56</v>
      </c>
      <c r="G166">
        <v>32.4</v>
      </c>
      <c r="H166">
        <v>3</v>
      </c>
      <c r="I166" t="s">
        <v>33</v>
      </c>
      <c r="J166">
        <v>0</v>
      </c>
      <c r="K166">
        <v>26.5</v>
      </c>
      <c r="L166">
        <v>3.7</v>
      </c>
      <c r="M166" t="s">
        <v>25</v>
      </c>
      <c r="N166" t="s">
        <v>40</v>
      </c>
    </row>
    <row r="167" spans="1:14" x14ac:dyDescent="0.2">
      <c r="A167" t="s">
        <v>206</v>
      </c>
      <c r="B167" t="s">
        <v>32</v>
      </c>
      <c r="C167">
        <v>207.45</v>
      </c>
      <c r="D167">
        <v>3</v>
      </c>
      <c r="E167">
        <v>67.209999999999994</v>
      </c>
      <c r="F167">
        <v>164</v>
      </c>
      <c r="G167">
        <v>24.7</v>
      </c>
      <c r="H167">
        <v>2</v>
      </c>
      <c r="I167" t="s">
        <v>33</v>
      </c>
      <c r="J167">
        <v>0</v>
      </c>
      <c r="K167">
        <v>35.299999999999997</v>
      </c>
      <c r="L167">
        <v>7.2</v>
      </c>
      <c r="M167" t="s">
        <v>39</v>
      </c>
      <c r="N167" t="s">
        <v>43</v>
      </c>
    </row>
    <row r="168" spans="1:14" x14ac:dyDescent="0.2">
      <c r="A168" t="s">
        <v>207</v>
      </c>
      <c r="B168" t="s">
        <v>23</v>
      </c>
      <c r="C168">
        <v>514.78</v>
      </c>
      <c r="D168">
        <v>7</v>
      </c>
      <c r="E168">
        <v>71.569999999999993</v>
      </c>
      <c r="F168">
        <v>30</v>
      </c>
      <c r="G168">
        <v>2.8</v>
      </c>
      <c r="H168">
        <v>4</v>
      </c>
      <c r="I168" t="s">
        <v>24</v>
      </c>
      <c r="J168">
        <v>11</v>
      </c>
      <c r="K168">
        <v>51.4</v>
      </c>
      <c r="L168">
        <v>18.100000000000001</v>
      </c>
      <c r="M168" t="s">
        <v>47</v>
      </c>
      <c r="N168" t="s">
        <v>43</v>
      </c>
    </row>
    <row r="169" spans="1:14" x14ac:dyDescent="0.2">
      <c r="A169" t="s">
        <v>208</v>
      </c>
      <c r="B169" t="s">
        <v>37</v>
      </c>
      <c r="C169">
        <v>453.16</v>
      </c>
      <c r="D169">
        <v>7</v>
      </c>
      <c r="E169">
        <v>70.260000000000005</v>
      </c>
      <c r="F169">
        <v>19</v>
      </c>
      <c r="G169">
        <v>13.4</v>
      </c>
      <c r="H169">
        <v>3</v>
      </c>
      <c r="I169" t="s">
        <v>24</v>
      </c>
      <c r="J169">
        <v>15</v>
      </c>
      <c r="K169">
        <v>76.099999999999994</v>
      </c>
      <c r="L169">
        <v>13.5</v>
      </c>
      <c r="M169" t="s">
        <v>53</v>
      </c>
      <c r="N169" t="s">
        <v>45</v>
      </c>
    </row>
    <row r="170" spans="1:14" x14ac:dyDescent="0.2">
      <c r="A170" t="s">
        <v>209</v>
      </c>
      <c r="B170" t="s">
        <v>37</v>
      </c>
      <c r="C170">
        <v>440.32</v>
      </c>
      <c r="D170">
        <v>9</v>
      </c>
      <c r="E170">
        <v>53.05</v>
      </c>
      <c r="F170">
        <v>53</v>
      </c>
      <c r="G170">
        <v>32.5</v>
      </c>
      <c r="H170">
        <v>2</v>
      </c>
      <c r="I170" t="s">
        <v>24</v>
      </c>
      <c r="J170">
        <v>6</v>
      </c>
      <c r="K170">
        <v>41.6</v>
      </c>
      <c r="L170">
        <v>12.3</v>
      </c>
      <c r="M170" t="s">
        <v>29</v>
      </c>
      <c r="N170" t="s">
        <v>43</v>
      </c>
    </row>
    <row r="171" spans="1:14" x14ac:dyDescent="0.2">
      <c r="A171" t="s">
        <v>210</v>
      </c>
      <c r="B171" t="s">
        <v>35</v>
      </c>
      <c r="C171">
        <v>136.12</v>
      </c>
      <c r="D171">
        <v>4</v>
      </c>
      <c r="E171">
        <v>36.479999999999997</v>
      </c>
      <c r="F171">
        <v>23</v>
      </c>
      <c r="G171">
        <v>37</v>
      </c>
      <c r="H171">
        <v>2</v>
      </c>
      <c r="I171" t="s">
        <v>33</v>
      </c>
      <c r="J171">
        <v>0</v>
      </c>
      <c r="K171">
        <v>30.8</v>
      </c>
      <c r="L171">
        <v>16.5</v>
      </c>
      <c r="M171" t="s">
        <v>53</v>
      </c>
      <c r="N171" t="s">
        <v>40</v>
      </c>
    </row>
    <row r="172" spans="1:14" x14ac:dyDescent="0.2">
      <c r="A172" t="s">
        <v>211</v>
      </c>
      <c r="B172" t="s">
        <v>35</v>
      </c>
      <c r="C172">
        <v>299.75</v>
      </c>
      <c r="D172">
        <v>7</v>
      </c>
      <c r="E172">
        <v>46</v>
      </c>
      <c r="F172">
        <v>41</v>
      </c>
      <c r="G172">
        <v>53.7</v>
      </c>
      <c r="H172">
        <v>3</v>
      </c>
      <c r="I172" t="s">
        <v>24</v>
      </c>
      <c r="J172">
        <v>10</v>
      </c>
      <c r="K172">
        <v>44.8</v>
      </c>
      <c r="L172">
        <v>10.6</v>
      </c>
      <c r="M172" t="s">
        <v>25</v>
      </c>
      <c r="N172" t="s">
        <v>26</v>
      </c>
    </row>
    <row r="173" spans="1:14" x14ac:dyDescent="0.2">
      <c r="A173" t="s">
        <v>212</v>
      </c>
      <c r="B173" t="s">
        <v>37</v>
      </c>
      <c r="C173">
        <v>860.83</v>
      </c>
      <c r="D173">
        <v>11</v>
      </c>
      <c r="E173">
        <v>78.83</v>
      </c>
      <c r="F173">
        <v>36</v>
      </c>
      <c r="G173">
        <v>10.7</v>
      </c>
      <c r="H173">
        <v>6</v>
      </c>
      <c r="I173" t="s">
        <v>24</v>
      </c>
      <c r="J173">
        <v>15</v>
      </c>
      <c r="K173">
        <v>52.8</v>
      </c>
      <c r="L173">
        <v>21.5</v>
      </c>
      <c r="M173" t="s">
        <v>53</v>
      </c>
      <c r="N173" t="s">
        <v>40</v>
      </c>
    </row>
    <row r="174" spans="1:14" x14ac:dyDescent="0.2">
      <c r="A174" t="s">
        <v>213</v>
      </c>
      <c r="B174" t="s">
        <v>58</v>
      </c>
      <c r="C174">
        <v>487.17</v>
      </c>
      <c r="D174">
        <v>9</v>
      </c>
      <c r="E174">
        <v>58.61</v>
      </c>
      <c r="F174">
        <v>16</v>
      </c>
      <c r="G174">
        <v>16.2</v>
      </c>
      <c r="H174">
        <v>5</v>
      </c>
      <c r="I174" t="s">
        <v>24</v>
      </c>
      <c r="J174">
        <v>14</v>
      </c>
      <c r="K174">
        <v>58.2</v>
      </c>
      <c r="L174">
        <v>13.6</v>
      </c>
      <c r="M174" t="s">
        <v>25</v>
      </c>
      <c r="N174" t="s">
        <v>26</v>
      </c>
    </row>
    <row r="175" spans="1:14" x14ac:dyDescent="0.2">
      <c r="A175" t="s">
        <v>214</v>
      </c>
      <c r="B175" t="s">
        <v>37</v>
      </c>
      <c r="C175">
        <v>284.83999999999997</v>
      </c>
      <c r="D175">
        <v>4</v>
      </c>
      <c r="E175">
        <v>72.25</v>
      </c>
      <c r="F175">
        <v>23</v>
      </c>
      <c r="G175">
        <v>0.5</v>
      </c>
      <c r="H175">
        <v>3</v>
      </c>
      <c r="I175" t="s">
        <v>33</v>
      </c>
      <c r="J175">
        <v>0</v>
      </c>
      <c r="K175">
        <v>59</v>
      </c>
      <c r="L175">
        <v>14.1</v>
      </c>
      <c r="M175" t="s">
        <v>29</v>
      </c>
      <c r="N175" t="s">
        <v>45</v>
      </c>
    </row>
    <row r="176" spans="1:14" x14ac:dyDescent="0.2">
      <c r="A176" t="s">
        <v>215</v>
      </c>
      <c r="B176" t="s">
        <v>35</v>
      </c>
      <c r="C176">
        <v>126.23</v>
      </c>
      <c r="D176">
        <v>2</v>
      </c>
      <c r="E176">
        <v>65.319999999999993</v>
      </c>
      <c r="F176">
        <v>29</v>
      </c>
      <c r="G176">
        <v>23.2</v>
      </c>
      <c r="H176">
        <v>5</v>
      </c>
      <c r="I176" t="s">
        <v>33</v>
      </c>
      <c r="J176">
        <v>0</v>
      </c>
      <c r="K176">
        <v>51.4</v>
      </c>
      <c r="L176">
        <v>9.5</v>
      </c>
      <c r="M176" t="s">
        <v>47</v>
      </c>
      <c r="N176" t="s">
        <v>30</v>
      </c>
    </row>
    <row r="177" spans="1:14" x14ac:dyDescent="0.2">
      <c r="A177" t="s">
        <v>216</v>
      </c>
      <c r="B177" t="s">
        <v>37</v>
      </c>
      <c r="C177">
        <v>209.17</v>
      </c>
      <c r="D177">
        <v>6</v>
      </c>
      <c r="E177">
        <v>33.32</v>
      </c>
      <c r="F177">
        <v>98</v>
      </c>
      <c r="G177">
        <v>38.1</v>
      </c>
      <c r="H177">
        <v>4</v>
      </c>
      <c r="I177" t="s">
        <v>33</v>
      </c>
      <c r="J177">
        <v>0</v>
      </c>
      <c r="K177">
        <v>48.5</v>
      </c>
      <c r="L177">
        <v>8.1</v>
      </c>
      <c r="M177" t="s">
        <v>25</v>
      </c>
      <c r="N177" t="s">
        <v>40</v>
      </c>
    </row>
    <row r="178" spans="1:14" x14ac:dyDescent="0.2">
      <c r="A178" t="s">
        <v>217</v>
      </c>
      <c r="B178" t="s">
        <v>35</v>
      </c>
      <c r="C178">
        <v>279.86</v>
      </c>
      <c r="D178">
        <v>7</v>
      </c>
      <c r="E178">
        <v>39.96</v>
      </c>
      <c r="F178">
        <v>46</v>
      </c>
      <c r="G178">
        <v>46.5</v>
      </c>
      <c r="H178">
        <v>3</v>
      </c>
      <c r="I178" t="s">
        <v>33</v>
      </c>
      <c r="J178">
        <v>0</v>
      </c>
      <c r="K178">
        <v>15.8</v>
      </c>
      <c r="L178">
        <v>14.3</v>
      </c>
      <c r="M178" t="s">
        <v>29</v>
      </c>
      <c r="N178" t="s">
        <v>26</v>
      </c>
    </row>
    <row r="179" spans="1:14" x14ac:dyDescent="0.2">
      <c r="A179" t="s">
        <v>218</v>
      </c>
      <c r="B179" t="s">
        <v>23</v>
      </c>
      <c r="C179">
        <v>60.46</v>
      </c>
      <c r="D179">
        <v>1</v>
      </c>
      <c r="E179">
        <v>59.41</v>
      </c>
      <c r="F179">
        <v>181</v>
      </c>
      <c r="G179">
        <v>18.899999999999999</v>
      </c>
      <c r="H179">
        <v>2</v>
      </c>
      <c r="I179" t="s">
        <v>33</v>
      </c>
      <c r="J179">
        <v>0</v>
      </c>
      <c r="K179">
        <v>18.899999999999999</v>
      </c>
      <c r="L179">
        <v>9.8000000000000007</v>
      </c>
      <c r="M179" t="s">
        <v>47</v>
      </c>
      <c r="N179" t="s">
        <v>30</v>
      </c>
    </row>
    <row r="180" spans="1:14" x14ac:dyDescent="0.2">
      <c r="A180" t="s">
        <v>219</v>
      </c>
      <c r="B180" t="s">
        <v>28</v>
      </c>
      <c r="C180">
        <v>474.7</v>
      </c>
      <c r="D180">
        <v>8</v>
      </c>
      <c r="E180">
        <v>62.74</v>
      </c>
      <c r="F180">
        <v>12</v>
      </c>
      <c r="G180">
        <v>15.3</v>
      </c>
      <c r="H180">
        <v>3</v>
      </c>
      <c r="I180" t="s">
        <v>24</v>
      </c>
      <c r="J180">
        <v>10</v>
      </c>
      <c r="K180">
        <v>57.3</v>
      </c>
      <c r="L180">
        <v>24.7</v>
      </c>
      <c r="M180" t="s">
        <v>47</v>
      </c>
      <c r="N180" t="s">
        <v>40</v>
      </c>
    </row>
    <row r="181" spans="1:14" x14ac:dyDescent="0.2">
      <c r="A181" t="s">
        <v>220</v>
      </c>
      <c r="B181" t="s">
        <v>37</v>
      </c>
      <c r="C181">
        <v>134.07</v>
      </c>
      <c r="D181">
        <v>3</v>
      </c>
      <c r="E181">
        <v>46.67</v>
      </c>
      <c r="F181">
        <v>29</v>
      </c>
      <c r="G181">
        <v>23.8</v>
      </c>
      <c r="H181">
        <v>6</v>
      </c>
      <c r="I181" t="s">
        <v>24</v>
      </c>
      <c r="J181">
        <v>9</v>
      </c>
      <c r="K181">
        <v>46.5</v>
      </c>
      <c r="L181">
        <v>10</v>
      </c>
      <c r="M181" t="s">
        <v>47</v>
      </c>
      <c r="N181" t="s">
        <v>30</v>
      </c>
    </row>
    <row r="182" spans="1:14" x14ac:dyDescent="0.2">
      <c r="A182" t="s">
        <v>221</v>
      </c>
      <c r="B182" t="s">
        <v>23</v>
      </c>
      <c r="C182">
        <v>530</v>
      </c>
      <c r="D182">
        <v>7</v>
      </c>
      <c r="E182">
        <v>76.8</v>
      </c>
      <c r="F182">
        <v>2</v>
      </c>
      <c r="G182">
        <v>10.1</v>
      </c>
      <c r="H182">
        <v>6</v>
      </c>
      <c r="I182" t="s">
        <v>33</v>
      </c>
      <c r="J182">
        <v>0</v>
      </c>
      <c r="K182">
        <v>51.9</v>
      </c>
      <c r="L182">
        <v>13</v>
      </c>
      <c r="M182" t="s">
        <v>47</v>
      </c>
      <c r="N182" t="s">
        <v>30</v>
      </c>
    </row>
    <row r="183" spans="1:14" x14ac:dyDescent="0.2">
      <c r="A183" t="s">
        <v>222</v>
      </c>
      <c r="B183" t="s">
        <v>37</v>
      </c>
      <c r="C183">
        <v>358.7</v>
      </c>
      <c r="D183">
        <v>5</v>
      </c>
      <c r="E183">
        <v>75.28</v>
      </c>
      <c r="F183">
        <v>11</v>
      </c>
      <c r="G183">
        <v>17.5</v>
      </c>
      <c r="H183">
        <v>4</v>
      </c>
      <c r="I183" t="s">
        <v>24</v>
      </c>
      <c r="J183">
        <v>10</v>
      </c>
      <c r="K183">
        <v>46.5</v>
      </c>
      <c r="L183">
        <v>18.2</v>
      </c>
      <c r="M183" t="s">
        <v>39</v>
      </c>
      <c r="N183" t="s">
        <v>30</v>
      </c>
    </row>
    <row r="184" spans="1:14" x14ac:dyDescent="0.2">
      <c r="A184" t="s">
        <v>223</v>
      </c>
      <c r="B184" t="s">
        <v>28</v>
      </c>
      <c r="C184">
        <v>197.37</v>
      </c>
      <c r="D184">
        <v>4</v>
      </c>
      <c r="E184">
        <v>48.87</v>
      </c>
      <c r="F184">
        <v>40</v>
      </c>
      <c r="G184">
        <v>45.2</v>
      </c>
      <c r="H184">
        <v>1</v>
      </c>
      <c r="I184" t="s">
        <v>33</v>
      </c>
      <c r="J184">
        <v>0</v>
      </c>
      <c r="K184">
        <v>37.5</v>
      </c>
      <c r="L184">
        <v>6.9</v>
      </c>
      <c r="M184" t="s">
        <v>29</v>
      </c>
      <c r="N184" t="s">
        <v>43</v>
      </c>
    </row>
    <row r="185" spans="1:14" x14ac:dyDescent="0.2">
      <c r="A185" t="s">
        <v>224</v>
      </c>
      <c r="B185" t="s">
        <v>32</v>
      </c>
      <c r="C185">
        <v>490.67</v>
      </c>
      <c r="D185">
        <v>7</v>
      </c>
      <c r="E185">
        <v>66.97</v>
      </c>
      <c r="F185">
        <v>66</v>
      </c>
      <c r="G185">
        <v>28.8</v>
      </c>
      <c r="H185">
        <v>5</v>
      </c>
      <c r="I185" t="s">
        <v>33</v>
      </c>
      <c r="J185">
        <v>0</v>
      </c>
      <c r="K185">
        <v>51.9</v>
      </c>
      <c r="L185">
        <v>2.6</v>
      </c>
      <c r="M185" t="s">
        <v>29</v>
      </c>
      <c r="N185" t="s">
        <v>30</v>
      </c>
    </row>
    <row r="186" spans="1:14" x14ac:dyDescent="0.2">
      <c r="A186" t="s">
        <v>225</v>
      </c>
      <c r="B186" t="s">
        <v>23</v>
      </c>
      <c r="C186">
        <v>171.71</v>
      </c>
      <c r="D186">
        <v>4</v>
      </c>
      <c r="E186">
        <v>46.13</v>
      </c>
      <c r="F186">
        <v>20</v>
      </c>
      <c r="G186">
        <v>24</v>
      </c>
      <c r="H186">
        <v>4</v>
      </c>
      <c r="I186" t="s">
        <v>24</v>
      </c>
      <c r="J186">
        <v>7</v>
      </c>
      <c r="K186">
        <v>57.4</v>
      </c>
      <c r="L186">
        <v>15.5</v>
      </c>
      <c r="M186" t="s">
        <v>25</v>
      </c>
      <c r="N186" t="s">
        <v>30</v>
      </c>
    </row>
    <row r="187" spans="1:14" x14ac:dyDescent="0.2">
      <c r="A187" t="s">
        <v>226</v>
      </c>
      <c r="B187" t="s">
        <v>35</v>
      </c>
      <c r="C187">
        <v>217.55</v>
      </c>
      <c r="D187">
        <v>6</v>
      </c>
      <c r="E187">
        <v>37.15</v>
      </c>
      <c r="F187">
        <v>64</v>
      </c>
      <c r="G187">
        <v>50.5</v>
      </c>
      <c r="H187">
        <v>2</v>
      </c>
      <c r="I187" t="s">
        <v>33</v>
      </c>
      <c r="J187">
        <v>0</v>
      </c>
      <c r="K187">
        <v>27.2</v>
      </c>
      <c r="L187">
        <v>7.2</v>
      </c>
      <c r="M187" t="s">
        <v>53</v>
      </c>
      <c r="N187" t="s">
        <v>40</v>
      </c>
    </row>
    <row r="188" spans="1:14" x14ac:dyDescent="0.2">
      <c r="A188" t="s">
        <v>227</v>
      </c>
      <c r="B188" t="s">
        <v>32</v>
      </c>
      <c r="C188">
        <v>97.22</v>
      </c>
      <c r="D188">
        <v>2</v>
      </c>
      <c r="E188">
        <v>52.79</v>
      </c>
      <c r="F188">
        <v>40</v>
      </c>
      <c r="G188">
        <v>16</v>
      </c>
      <c r="H188">
        <v>2</v>
      </c>
      <c r="I188" t="s">
        <v>33</v>
      </c>
      <c r="J188">
        <v>0</v>
      </c>
      <c r="K188">
        <v>32.200000000000003</v>
      </c>
      <c r="L188">
        <v>4.4000000000000004</v>
      </c>
      <c r="M188" t="s">
        <v>47</v>
      </c>
      <c r="N188" t="s">
        <v>26</v>
      </c>
    </row>
    <row r="189" spans="1:14" x14ac:dyDescent="0.2">
      <c r="A189" t="s">
        <v>228</v>
      </c>
      <c r="B189" t="s">
        <v>58</v>
      </c>
      <c r="C189">
        <v>973.55</v>
      </c>
      <c r="D189">
        <v>12</v>
      </c>
      <c r="E189">
        <v>77.989999999999995</v>
      </c>
      <c r="F189">
        <v>15</v>
      </c>
      <c r="G189">
        <v>16</v>
      </c>
      <c r="H189">
        <v>4</v>
      </c>
      <c r="I189" t="s">
        <v>33</v>
      </c>
      <c r="J189">
        <v>0</v>
      </c>
      <c r="K189">
        <v>72.8</v>
      </c>
      <c r="L189">
        <v>18.100000000000001</v>
      </c>
      <c r="M189" t="s">
        <v>39</v>
      </c>
      <c r="N189" t="s">
        <v>43</v>
      </c>
    </row>
    <row r="190" spans="1:14" x14ac:dyDescent="0.2">
      <c r="A190" t="s">
        <v>229</v>
      </c>
      <c r="B190" t="s">
        <v>58</v>
      </c>
      <c r="C190">
        <v>367.61</v>
      </c>
      <c r="D190">
        <v>5</v>
      </c>
      <c r="E190">
        <v>70.69</v>
      </c>
      <c r="F190">
        <v>19</v>
      </c>
      <c r="G190">
        <v>30.1</v>
      </c>
      <c r="H190">
        <v>6</v>
      </c>
      <c r="I190" t="s">
        <v>24</v>
      </c>
      <c r="J190">
        <v>10</v>
      </c>
      <c r="K190">
        <v>49.5</v>
      </c>
      <c r="L190">
        <v>12.4</v>
      </c>
      <c r="M190" t="s">
        <v>39</v>
      </c>
      <c r="N190" t="s">
        <v>40</v>
      </c>
    </row>
    <row r="191" spans="1:14" x14ac:dyDescent="0.2">
      <c r="A191" t="s">
        <v>230</v>
      </c>
      <c r="B191" t="s">
        <v>23</v>
      </c>
      <c r="C191">
        <v>621.71</v>
      </c>
      <c r="D191">
        <v>8</v>
      </c>
      <c r="E191">
        <v>75.11</v>
      </c>
      <c r="F191">
        <v>36</v>
      </c>
      <c r="G191">
        <v>22.2</v>
      </c>
      <c r="H191">
        <v>4</v>
      </c>
      <c r="I191" t="s">
        <v>24</v>
      </c>
      <c r="J191">
        <v>15</v>
      </c>
      <c r="K191">
        <v>54.9</v>
      </c>
      <c r="L191">
        <v>9.9</v>
      </c>
      <c r="M191" t="s">
        <v>55</v>
      </c>
      <c r="N191" t="s">
        <v>45</v>
      </c>
    </row>
    <row r="192" spans="1:14" x14ac:dyDescent="0.2">
      <c r="A192" t="s">
        <v>231</v>
      </c>
      <c r="B192" t="s">
        <v>37</v>
      </c>
      <c r="C192">
        <v>145.81</v>
      </c>
      <c r="D192">
        <v>3</v>
      </c>
      <c r="E192">
        <v>52.13</v>
      </c>
      <c r="F192">
        <v>20</v>
      </c>
      <c r="G192">
        <v>15.1</v>
      </c>
      <c r="H192">
        <v>4</v>
      </c>
      <c r="I192" t="s">
        <v>33</v>
      </c>
      <c r="J192">
        <v>0</v>
      </c>
      <c r="K192">
        <v>33.9</v>
      </c>
      <c r="L192">
        <v>6.1</v>
      </c>
      <c r="M192" t="s">
        <v>25</v>
      </c>
      <c r="N192" t="s">
        <v>43</v>
      </c>
    </row>
    <row r="193" spans="1:14" x14ac:dyDescent="0.2">
      <c r="A193" t="s">
        <v>232</v>
      </c>
      <c r="B193" t="s">
        <v>32</v>
      </c>
      <c r="C193">
        <v>127.33</v>
      </c>
      <c r="D193">
        <v>3</v>
      </c>
      <c r="E193">
        <v>44.11</v>
      </c>
      <c r="F193">
        <v>162</v>
      </c>
      <c r="G193">
        <v>37.200000000000003</v>
      </c>
      <c r="H193">
        <v>3</v>
      </c>
      <c r="I193" t="s">
        <v>33</v>
      </c>
      <c r="J193">
        <v>0</v>
      </c>
      <c r="K193">
        <v>29.4</v>
      </c>
      <c r="L193">
        <v>1.7</v>
      </c>
      <c r="M193" t="s">
        <v>47</v>
      </c>
      <c r="N193" t="s">
        <v>30</v>
      </c>
    </row>
    <row r="194" spans="1:14" x14ac:dyDescent="0.2">
      <c r="A194" t="s">
        <v>233</v>
      </c>
      <c r="B194" t="s">
        <v>28</v>
      </c>
      <c r="C194">
        <v>189.71</v>
      </c>
      <c r="D194">
        <v>3</v>
      </c>
      <c r="E194">
        <v>61.64</v>
      </c>
      <c r="F194">
        <v>99</v>
      </c>
      <c r="G194">
        <v>10.199999999999999</v>
      </c>
      <c r="H194">
        <v>2</v>
      </c>
      <c r="I194" t="s">
        <v>33</v>
      </c>
      <c r="J194">
        <v>0</v>
      </c>
      <c r="K194">
        <v>14.4</v>
      </c>
      <c r="L194">
        <v>0.4</v>
      </c>
      <c r="M194" t="s">
        <v>39</v>
      </c>
      <c r="N194" t="s">
        <v>43</v>
      </c>
    </row>
    <row r="195" spans="1:14" x14ac:dyDescent="0.2">
      <c r="A195" t="s">
        <v>234</v>
      </c>
      <c r="B195" t="s">
        <v>35</v>
      </c>
      <c r="C195">
        <v>312.43</v>
      </c>
      <c r="D195">
        <v>7</v>
      </c>
      <c r="E195">
        <v>46.42</v>
      </c>
      <c r="F195">
        <v>26</v>
      </c>
      <c r="G195">
        <v>55.5</v>
      </c>
      <c r="H195">
        <v>3</v>
      </c>
      <c r="I195" t="s">
        <v>24</v>
      </c>
      <c r="J195">
        <v>3</v>
      </c>
      <c r="K195">
        <v>52.3</v>
      </c>
      <c r="L195">
        <v>8.1999999999999993</v>
      </c>
      <c r="M195" t="s">
        <v>47</v>
      </c>
      <c r="N195" t="s">
        <v>43</v>
      </c>
    </row>
    <row r="196" spans="1:14" x14ac:dyDescent="0.2">
      <c r="A196" t="s">
        <v>235</v>
      </c>
      <c r="B196" t="s">
        <v>23</v>
      </c>
      <c r="C196">
        <v>534.96</v>
      </c>
      <c r="D196">
        <v>7</v>
      </c>
      <c r="E196">
        <v>75.5</v>
      </c>
      <c r="F196">
        <v>25</v>
      </c>
      <c r="G196">
        <v>2.6</v>
      </c>
      <c r="H196">
        <v>3</v>
      </c>
      <c r="I196" t="s">
        <v>24</v>
      </c>
      <c r="J196">
        <v>14</v>
      </c>
      <c r="K196">
        <v>52.5</v>
      </c>
      <c r="L196">
        <v>13.7</v>
      </c>
      <c r="M196" t="s">
        <v>25</v>
      </c>
      <c r="N196" t="s">
        <v>43</v>
      </c>
    </row>
    <row r="197" spans="1:14" x14ac:dyDescent="0.2">
      <c r="A197" t="s">
        <v>236</v>
      </c>
      <c r="B197" t="s">
        <v>23</v>
      </c>
      <c r="C197">
        <v>733.8</v>
      </c>
      <c r="D197">
        <v>9</v>
      </c>
      <c r="E197">
        <v>79.569999999999993</v>
      </c>
      <c r="F197">
        <v>11</v>
      </c>
      <c r="G197">
        <v>15.7</v>
      </c>
      <c r="H197">
        <v>3</v>
      </c>
      <c r="I197" t="s">
        <v>24</v>
      </c>
      <c r="J197">
        <v>16</v>
      </c>
      <c r="K197">
        <v>48.8</v>
      </c>
      <c r="L197">
        <v>6.9</v>
      </c>
      <c r="M197" t="s">
        <v>53</v>
      </c>
      <c r="N197" t="s">
        <v>43</v>
      </c>
    </row>
    <row r="198" spans="1:14" x14ac:dyDescent="0.2">
      <c r="A198" t="s">
        <v>237</v>
      </c>
      <c r="B198" t="s">
        <v>32</v>
      </c>
      <c r="C198">
        <v>759.26</v>
      </c>
      <c r="D198">
        <v>9</v>
      </c>
      <c r="E198">
        <v>78.22</v>
      </c>
      <c r="F198">
        <v>28</v>
      </c>
      <c r="G198">
        <v>20</v>
      </c>
      <c r="H198">
        <v>5</v>
      </c>
      <c r="I198" t="s">
        <v>24</v>
      </c>
      <c r="J198">
        <v>15</v>
      </c>
      <c r="K198">
        <v>60</v>
      </c>
      <c r="L198">
        <v>24.2</v>
      </c>
      <c r="M198" t="s">
        <v>55</v>
      </c>
      <c r="N198" t="s">
        <v>30</v>
      </c>
    </row>
    <row r="199" spans="1:14" x14ac:dyDescent="0.2">
      <c r="A199" t="s">
        <v>238</v>
      </c>
      <c r="B199" t="s">
        <v>32</v>
      </c>
      <c r="C199">
        <v>756.68</v>
      </c>
      <c r="D199">
        <v>11</v>
      </c>
      <c r="E199">
        <v>68.489999999999995</v>
      </c>
      <c r="F199">
        <v>14</v>
      </c>
      <c r="G199">
        <v>21.4</v>
      </c>
      <c r="H199">
        <v>5</v>
      </c>
      <c r="I199" t="s">
        <v>24</v>
      </c>
      <c r="J199">
        <v>14</v>
      </c>
      <c r="K199">
        <v>57.9</v>
      </c>
      <c r="L199">
        <v>15</v>
      </c>
      <c r="M199" t="s">
        <v>39</v>
      </c>
      <c r="N199" t="s">
        <v>26</v>
      </c>
    </row>
    <row r="200" spans="1:14" x14ac:dyDescent="0.2">
      <c r="A200" t="s">
        <v>239</v>
      </c>
      <c r="B200" t="s">
        <v>32</v>
      </c>
      <c r="C200">
        <v>374.03</v>
      </c>
      <c r="D200">
        <v>6</v>
      </c>
      <c r="E200">
        <v>63.63</v>
      </c>
      <c r="F200">
        <v>24</v>
      </c>
      <c r="G200">
        <v>34.9</v>
      </c>
      <c r="H200">
        <v>5</v>
      </c>
      <c r="I200" t="s">
        <v>33</v>
      </c>
      <c r="J200">
        <v>0</v>
      </c>
      <c r="K200">
        <v>59.9</v>
      </c>
      <c r="L200">
        <v>18.899999999999999</v>
      </c>
      <c r="M200" t="s">
        <v>47</v>
      </c>
      <c r="N200" t="s">
        <v>40</v>
      </c>
    </row>
    <row r="201" spans="1:14" x14ac:dyDescent="0.2">
      <c r="A201" t="s">
        <v>240</v>
      </c>
      <c r="B201" t="s">
        <v>32</v>
      </c>
      <c r="C201">
        <v>390.68</v>
      </c>
      <c r="D201">
        <v>9</v>
      </c>
      <c r="E201">
        <v>42.03</v>
      </c>
      <c r="F201">
        <v>66</v>
      </c>
      <c r="G201">
        <v>60.1</v>
      </c>
      <c r="H201">
        <v>2</v>
      </c>
      <c r="I201" t="s">
        <v>33</v>
      </c>
      <c r="J201">
        <v>0</v>
      </c>
      <c r="K201">
        <v>33.1</v>
      </c>
      <c r="L201">
        <v>5.2</v>
      </c>
      <c r="M201" t="s">
        <v>55</v>
      </c>
      <c r="N201" t="s">
        <v>40</v>
      </c>
    </row>
    <row r="202" spans="1:14" x14ac:dyDescent="0.2">
      <c r="A202" t="s">
        <v>241</v>
      </c>
      <c r="B202" t="s">
        <v>35</v>
      </c>
      <c r="C202">
        <v>770.57</v>
      </c>
      <c r="D202">
        <v>8</v>
      </c>
      <c r="E202">
        <v>91.87</v>
      </c>
      <c r="F202">
        <v>19</v>
      </c>
      <c r="G202">
        <v>8.8000000000000007</v>
      </c>
      <c r="H202">
        <v>4</v>
      </c>
      <c r="I202" t="s">
        <v>24</v>
      </c>
      <c r="J202">
        <v>14</v>
      </c>
      <c r="K202">
        <v>72</v>
      </c>
      <c r="L202">
        <v>20.2</v>
      </c>
      <c r="M202" t="s">
        <v>47</v>
      </c>
      <c r="N202" t="s">
        <v>30</v>
      </c>
    </row>
    <row r="203" spans="1:14" x14ac:dyDescent="0.2">
      <c r="A203" t="s">
        <v>242</v>
      </c>
      <c r="B203" t="s">
        <v>37</v>
      </c>
      <c r="C203">
        <v>296.3</v>
      </c>
      <c r="D203">
        <v>5</v>
      </c>
      <c r="E203">
        <v>58.39</v>
      </c>
      <c r="F203">
        <v>2</v>
      </c>
      <c r="G203">
        <v>31.6</v>
      </c>
      <c r="H203">
        <v>4</v>
      </c>
      <c r="I203" t="s">
        <v>24</v>
      </c>
      <c r="J203">
        <v>3</v>
      </c>
      <c r="K203">
        <v>53.4</v>
      </c>
      <c r="L203">
        <v>13.8</v>
      </c>
      <c r="M203" t="s">
        <v>25</v>
      </c>
      <c r="N203" t="s">
        <v>30</v>
      </c>
    </row>
    <row r="204" spans="1:14" x14ac:dyDescent="0.2">
      <c r="A204" t="s">
        <v>243</v>
      </c>
      <c r="B204" t="s">
        <v>37</v>
      </c>
      <c r="C204">
        <v>307.93</v>
      </c>
      <c r="D204">
        <v>6</v>
      </c>
      <c r="E204">
        <v>53.81</v>
      </c>
      <c r="F204">
        <v>33</v>
      </c>
      <c r="G204">
        <v>24.5</v>
      </c>
      <c r="H204">
        <v>4</v>
      </c>
      <c r="I204" t="s">
        <v>24</v>
      </c>
      <c r="J204">
        <v>10</v>
      </c>
      <c r="K204">
        <v>50.6</v>
      </c>
      <c r="L204">
        <v>14.7</v>
      </c>
      <c r="M204" t="s">
        <v>39</v>
      </c>
      <c r="N204" t="s">
        <v>43</v>
      </c>
    </row>
    <row r="205" spans="1:14" x14ac:dyDescent="0.2">
      <c r="A205" t="s">
        <v>244</v>
      </c>
      <c r="B205" t="s">
        <v>32</v>
      </c>
      <c r="C205">
        <v>379.86</v>
      </c>
      <c r="D205">
        <v>6</v>
      </c>
      <c r="E205">
        <v>63.67</v>
      </c>
      <c r="F205">
        <v>51</v>
      </c>
      <c r="G205">
        <v>18</v>
      </c>
      <c r="H205">
        <v>4</v>
      </c>
      <c r="I205" t="s">
        <v>33</v>
      </c>
      <c r="J205">
        <v>0</v>
      </c>
      <c r="K205">
        <v>50.9</v>
      </c>
      <c r="L205">
        <v>13.4</v>
      </c>
      <c r="M205" t="s">
        <v>47</v>
      </c>
      <c r="N205" t="s">
        <v>45</v>
      </c>
    </row>
    <row r="206" spans="1:14" x14ac:dyDescent="0.2">
      <c r="A206" t="s">
        <v>245</v>
      </c>
      <c r="B206" t="s">
        <v>35</v>
      </c>
      <c r="C206">
        <v>176.75</v>
      </c>
      <c r="D206">
        <v>3</v>
      </c>
      <c r="E206">
        <v>56.23</v>
      </c>
      <c r="F206">
        <v>21</v>
      </c>
      <c r="G206">
        <v>23.9</v>
      </c>
      <c r="H206">
        <v>4</v>
      </c>
      <c r="I206" t="s">
        <v>24</v>
      </c>
      <c r="J206">
        <v>3</v>
      </c>
      <c r="K206">
        <v>31</v>
      </c>
      <c r="L206">
        <v>10.7</v>
      </c>
      <c r="M206" t="s">
        <v>39</v>
      </c>
      <c r="N206" t="s">
        <v>30</v>
      </c>
    </row>
    <row r="207" spans="1:14" x14ac:dyDescent="0.2">
      <c r="A207" t="s">
        <v>246</v>
      </c>
      <c r="B207" t="s">
        <v>37</v>
      </c>
      <c r="C207">
        <v>300.14999999999998</v>
      </c>
      <c r="D207">
        <v>5</v>
      </c>
      <c r="E207">
        <v>61.58</v>
      </c>
      <c r="F207">
        <v>19</v>
      </c>
      <c r="G207">
        <v>9.1</v>
      </c>
      <c r="H207">
        <v>3</v>
      </c>
      <c r="I207" t="s">
        <v>24</v>
      </c>
      <c r="J207">
        <v>6</v>
      </c>
      <c r="K207">
        <v>51.4</v>
      </c>
      <c r="L207">
        <v>17.7</v>
      </c>
      <c r="M207" t="s">
        <v>47</v>
      </c>
      <c r="N207" t="s">
        <v>43</v>
      </c>
    </row>
    <row r="208" spans="1:14" x14ac:dyDescent="0.2">
      <c r="A208" t="s">
        <v>247</v>
      </c>
      <c r="B208" t="s">
        <v>37</v>
      </c>
      <c r="C208">
        <v>179.56</v>
      </c>
      <c r="D208">
        <v>5</v>
      </c>
      <c r="E208">
        <v>35.21</v>
      </c>
      <c r="F208">
        <v>4</v>
      </c>
      <c r="G208">
        <v>54.9</v>
      </c>
      <c r="H208">
        <v>2</v>
      </c>
      <c r="I208" t="s">
        <v>33</v>
      </c>
      <c r="J208">
        <v>0</v>
      </c>
      <c r="K208">
        <v>41</v>
      </c>
      <c r="L208">
        <v>5.3</v>
      </c>
      <c r="M208" t="s">
        <v>55</v>
      </c>
      <c r="N208" t="s">
        <v>40</v>
      </c>
    </row>
    <row r="209" spans="1:14" x14ac:dyDescent="0.2">
      <c r="A209" t="s">
        <v>248</v>
      </c>
      <c r="B209" t="s">
        <v>35</v>
      </c>
      <c r="C209">
        <v>167.38</v>
      </c>
      <c r="D209">
        <v>3</v>
      </c>
      <c r="E209">
        <v>53.85</v>
      </c>
      <c r="F209">
        <v>136</v>
      </c>
      <c r="G209">
        <v>4.2</v>
      </c>
      <c r="H209">
        <v>1</v>
      </c>
      <c r="I209" t="s">
        <v>33</v>
      </c>
      <c r="J209">
        <v>0</v>
      </c>
      <c r="K209">
        <v>12.5</v>
      </c>
      <c r="L209">
        <v>0</v>
      </c>
      <c r="M209" t="s">
        <v>55</v>
      </c>
      <c r="N209" t="s">
        <v>45</v>
      </c>
    </row>
    <row r="210" spans="1:14" x14ac:dyDescent="0.2">
      <c r="A210" t="s">
        <v>249</v>
      </c>
      <c r="B210" t="s">
        <v>37</v>
      </c>
      <c r="C210">
        <v>258.64</v>
      </c>
      <c r="D210">
        <v>4</v>
      </c>
      <c r="E210">
        <v>64.77</v>
      </c>
      <c r="F210">
        <v>156</v>
      </c>
      <c r="G210">
        <v>26.8</v>
      </c>
      <c r="H210">
        <v>2</v>
      </c>
      <c r="I210" t="s">
        <v>33</v>
      </c>
      <c r="J210">
        <v>0</v>
      </c>
      <c r="K210">
        <v>6.6</v>
      </c>
      <c r="L210">
        <v>1.4</v>
      </c>
      <c r="M210" t="s">
        <v>39</v>
      </c>
      <c r="N210" t="s">
        <v>40</v>
      </c>
    </row>
    <row r="211" spans="1:14" x14ac:dyDescent="0.2">
      <c r="A211" t="s">
        <v>250</v>
      </c>
      <c r="B211" t="s">
        <v>37</v>
      </c>
      <c r="C211">
        <v>521.34</v>
      </c>
      <c r="D211">
        <v>7</v>
      </c>
      <c r="E211">
        <v>71.48</v>
      </c>
      <c r="F211">
        <v>38</v>
      </c>
      <c r="G211">
        <v>22.2</v>
      </c>
      <c r="H211">
        <v>3</v>
      </c>
      <c r="I211" t="s">
        <v>24</v>
      </c>
      <c r="J211">
        <v>10</v>
      </c>
      <c r="K211">
        <v>68.7</v>
      </c>
      <c r="L211">
        <v>13.4</v>
      </c>
      <c r="M211" t="s">
        <v>25</v>
      </c>
      <c r="N211" t="s">
        <v>30</v>
      </c>
    </row>
    <row r="212" spans="1:14" x14ac:dyDescent="0.2">
      <c r="A212" t="s">
        <v>251</v>
      </c>
      <c r="B212" t="s">
        <v>58</v>
      </c>
      <c r="C212">
        <v>112.56</v>
      </c>
      <c r="D212">
        <v>2</v>
      </c>
      <c r="E212">
        <v>55.81</v>
      </c>
      <c r="F212">
        <v>69</v>
      </c>
      <c r="G212">
        <v>23</v>
      </c>
      <c r="H212">
        <v>6</v>
      </c>
      <c r="I212" t="s">
        <v>33</v>
      </c>
      <c r="J212">
        <v>0</v>
      </c>
      <c r="K212">
        <v>35.700000000000003</v>
      </c>
      <c r="L212">
        <v>16.3</v>
      </c>
      <c r="M212" t="s">
        <v>55</v>
      </c>
      <c r="N212" t="s">
        <v>30</v>
      </c>
    </row>
    <row r="213" spans="1:14" x14ac:dyDescent="0.2">
      <c r="A213" t="s">
        <v>252</v>
      </c>
      <c r="B213" t="s">
        <v>35</v>
      </c>
      <c r="C213">
        <v>582.54</v>
      </c>
      <c r="D213">
        <v>10</v>
      </c>
      <c r="E213">
        <v>60.32</v>
      </c>
      <c r="F213">
        <v>10</v>
      </c>
      <c r="G213">
        <v>13.3</v>
      </c>
      <c r="H213">
        <v>3</v>
      </c>
      <c r="I213" t="s">
        <v>24</v>
      </c>
      <c r="J213">
        <v>8</v>
      </c>
      <c r="K213">
        <v>61.3</v>
      </c>
      <c r="L213">
        <v>13.8</v>
      </c>
      <c r="M213" t="s">
        <v>53</v>
      </c>
      <c r="N213" t="s">
        <v>43</v>
      </c>
    </row>
    <row r="214" spans="1:14" x14ac:dyDescent="0.2">
      <c r="A214" t="s">
        <v>253</v>
      </c>
      <c r="B214" t="s">
        <v>35</v>
      </c>
      <c r="C214">
        <v>351.74</v>
      </c>
      <c r="D214">
        <v>5</v>
      </c>
      <c r="E214">
        <v>74.209999999999994</v>
      </c>
      <c r="F214">
        <v>17</v>
      </c>
      <c r="G214">
        <v>19.3</v>
      </c>
      <c r="H214">
        <v>3</v>
      </c>
      <c r="I214" t="s">
        <v>24</v>
      </c>
      <c r="J214">
        <v>11</v>
      </c>
      <c r="K214">
        <v>60.8</v>
      </c>
      <c r="L214">
        <v>18.3</v>
      </c>
      <c r="M214" t="s">
        <v>25</v>
      </c>
      <c r="N214" t="s">
        <v>40</v>
      </c>
    </row>
    <row r="215" spans="1:14" x14ac:dyDescent="0.2">
      <c r="A215" t="s">
        <v>254</v>
      </c>
      <c r="B215" t="s">
        <v>37</v>
      </c>
      <c r="C215">
        <v>145.25</v>
      </c>
      <c r="D215">
        <v>3</v>
      </c>
      <c r="E215">
        <v>47.45</v>
      </c>
      <c r="F215">
        <v>33</v>
      </c>
      <c r="G215">
        <v>52.9</v>
      </c>
      <c r="H215">
        <v>2</v>
      </c>
      <c r="I215" t="s">
        <v>24</v>
      </c>
      <c r="J215">
        <v>3</v>
      </c>
      <c r="K215">
        <v>41</v>
      </c>
      <c r="L215">
        <v>11.5</v>
      </c>
      <c r="M215" t="s">
        <v>55</v>
      </c>
      <c r="N215" t="s">
        <v>45</v>
      </c>
    </row>
    <row r="216" spans="1:14" x14ac:dyDescent="0.2">
      <c r="A216" t="s">
        <v>255</v>
      </c>
      <c r="B216" t="s">
        <v>35</v>
      </c>
      <c r="C216">
        <v>128.91</v>
      </c>
      <c r="D216">
        <v>2</v>
      </c>
      <c r="E216">
        <v>60.5</v>
      </c>
      <c r="F216">
        <v>113</v>
      </c>
      <c r="G216">
        <v>1.1000000000000001</v>
      </c>
      <c r="H216">
        <v>1</v>
      </c>
      <c r="I216" t="s">
        <v>33</v>
      </c>
      <c r="J216">
        <v>0</v>
      </c>
      <c r="K216">
        <v>14.7</v>
      </c>
      <c r="L216">
        <v>3</v>
      </c>
      <c r="M216" t="s">
        <v>53</v>
      </c>
      <c r="N216" t="s">
        <v>26</v>
      </c>
    </row>
    <row r="217" spans="1:14" x14ac:dyDescent="0.2">
      <c r="A217" t="s">
        <v>256</v>
      </c>
      <c r="B217" t="s">
        <v>37</v>
      </c>
      <c r="C217">
        <v>60.78</v>
      </c>
      <c r="D217">
        <v>2</v>
      </c>
      <c r="E217">
        <v>28.14</v>
      </c>
      <c r="F217">
        <v>112</v>
      </c>
      <c r="G217">
        <v>0.8</v>
      </c>
      <c r="H217">
        <v>2</v>
      </c>
      <c r="I217" t="s">
        <v>33</v>
      </c>
      <c r="J217">
        <v>0</v>
      </c>
      <c r="K217">
        <v>37.5</v>
      </c>
      <c r="L217">
        <v>0.8</v>
      </c>
      <c r="M217" t="s">
        <v>39</v>
      </c>
      <c r="N217" t="s">
        <v>26</v>
      </c>
    </row>
    <row r="218" spans="1:14" x14ac:dyDescent="0.2">
      <c r="A218" t="s">
        <v>257</v>
      </c>
      <c r="B218" t="s">
        <v>23</v>
      </c>
      <c r="C218">
        <v>515.41</v>
      </c>
      <c r="D218">
        <v>6</v>
      </c>
      <c r="E218">
        <v>85.88</v>
      </c>
      <c r="F218">
        <v>28</v>
      </c>
      <c r="G218">
        <v>9.6999999999999993</v>
      </c>
      <c r="H218">
        <v>4</v>
      </c>
      <c r="I218" t="s">
        <v>24</v>
      </c>
      <c r="J218">
        <v>3</v>
      </c>
      <c r="K218">
        <v>56.3</v>
      </c>
      <c r="L218">
        <v>20.399999999999999</v>
      </c>
      <c r="M218" t="s">
        <v>47</v>
      </c>
      <c r="N218" t="s">
        <v>43</v>
      </c>
    </row>
    <row r="219" spans="1:14" x14ac:dyDescent="0.2">
      <c r="A219" t="s">
        <v>258</v>
      </c>
      <c r="B219" t="s">
        <v>32</v>
      </c>
      <c r="C219">
        <v>141.88999999999999</v>
      </c>
      <c r="D219">
        <v>2</v>
      </c>
      <c r="E219">
        <v>73.52</v>
      </c>
      <c r="F219">
        <v>40</v>
      </c>
      <c r="G219">
        <v>23.1</v>
      </c>
      <c r="H219">
        <v>4</v>
      </c>
      <c r="I219" t="s">
        <v>24</v>
      </c>
      <c r="J219">
        <v>6</v>
      </c>
      <c r="K219">
        <v>50.5</v>
      </c>
      <c r="L219">
        <v>8.5</v>
      </c>
      <c r="M219" t="s">
        <v>29</v>
      </c>
      <c r="N219" t="s">
        <v>45</v>
      </c>
    </row>
    <row r="220" spans="1:14" x14ac:dyDescent="0.2">
      <c r="A220" t="s">
        <v>259</v>
      </c>
      <c r="B220" t="s">
        <v>35</v>
      </c>
      <c r="C220">
        <v>166.53</v>
      </c>
      <c r="D220">
        <v>5</v>
      </c>
      <c r="E220">
        <v>32.96</v>
      </c>
      <c r="F220">
        <v>65</v>
      </c>
      <c r="G220">
        <v>42.6</v>
      </c>
      <c r="H220">
        <v>2</v>
      </c>
      <c r="I220" t="s">
        <v>33</v>
      </c>
      <c r="J220">
        <v>0</v>
      </c>
      <c r="K220">
        <v>41.6</v>
      </c>
      <c r="L220">
        <v>13</v>
      </c>
      <c r="M220" t="s">
        <v>25</v>
      </c>
      <c r="N220" t="s">
        <v>40</v>
      </c>
    </row>
    <row r="221" spans="1:14" x14ac:dyDescent="0.2">
      <c r="A221" t="s">
        <v>260</v>
      </c>
      <c r="B221" t="s">
        <v>32</v>
      </c>
      <c r="C221">
        <v>324.82</v>
      </c>
      <c r="D221">
        <v>5</v>
      </c>
      <c r="E221">
        <v>70.239999999999995</v>
      </c>
      <c r="F221">
        <v>25</v>
      </c>
      <c r="G221">
        <v>16</v>
      </c>
      <c r="H221">
        <v>5</v>
      </c>
      <c r="I221" t="s">
        <v>33</v>
      </c>
      <c r="J221">
        <v>0</v>
      </c>
      <c r="K221">
        <v>47.6</v>
      </c>
      <c r="L221">
        <v>10</v>
      </c>
      <c r="M221" t="s">
        <v>29</v>
      </c>
      <c r="N221" t="s">
        <v>26</v>
      </c>
    </row>
    <row r="222" spans="1:14" x14ac:dyDescent="0.2">
      <c r="A222" t="s">
        <v>261</v>
      </c>
      <c r="B222" t="s">
        <v>35</v>
      </c>
      <c r="C222">
        <v>290.62</v>
      </c>
      <c r="D222">
        <v>5</v>
      </c>
      <c r="E222">
        <v>60.27</v>
      </c>
      <c r="F222">
        <v>38</v>
      </c>
      <c r="G222">
        <v>24.8</v>
      </c>
      <c r="H222">
        <v>6</v>
      </c>
      <c r="I222" t="s">
        <v>24</v>
      </c>
      <c r="J222">
        <v>10</v>
      </c>
      <c r="K222">
        <v>51.3</v>
      </c>
      <c r="L222">
        <v>15.7</v>
      </c>
      <c r="M222" t="s">
        <v>47</v>
      </c>
      <c r="N222" t="s">
        <v>30</v>
      </c>
    </row>
    <row r="223" spans="1:14" x14ac:dyDescent="0.2">
      <c r="A223" t="s">
        <v>262</v>
      </c>
      <c r="B223" t="s">
        <v>58</v>
      </c>
      <c r="C223">
        <v>456.84</v>
      </c>
      <c r="D223">
        <v>6</v>
      </c>
      <c r="E223">
        <v>71.25</v>
      </c>
      <c r="F223">
        <v>30</v>
      </c>
      <c r="G223">
        <v>20</v>
      </c>
      <c r="H223">
        <v>3</v>
      </c>
      <c r="I223" t="s">
        <v>24</v>
      </c>
      <c r="J223">
        <v>6</v>
      </c>
      <c r="K223">
        <v>43.3</v>
      </c>
      <c r="L223">
        <v>7.2</v>
      </c>
      <c r="M223" t="s">
        <v>25</v>
      </c>
      <c r="N223" t="s">
        <v>43</v>
      </c>
    </row>
    <row r="224" spans="1:14" x14ac:dyDescent="0.2">
      <c r="A224" t="s">
        <v>263</v>
      </c>
      <c r="B224" t="s">
        <v>37</v>
      </c>
      <c r="C224">
        <v>241.32</v>
      </c>
      <c r="D224">
        <v>5</v>
      </c>
      <c r="E224">
        <v>47.67</v>
      </c>
      <c r="F224">
        <v>2</v>
      </c>
      <c r="G224">
        <v>26.9</v>
      </c>
      <c r="H224">
        <v>4</v>
      </c>
      <c r="I224" t="s">
        <v>33</v>
      </c>
      <c r="J224">
        <v>0</v>
      </c>
      <c r="K224">
        <v>31.7</v>
      </c>
      <c r="L224">
        <v>17.100000000000001</v>
      </c>
      <c r="M224" t="s">
        <v>29</v>
      </c>
      <c r="N224" t="s">
        <v>40</v>
      </c>
    </row>
    <row r="225" spans="1:14" x14ac:dyDescent="0.2">
      <c r="A225" t="s">
        <v>264</v>
      </c>
      <c r="B225" t="s">
        <v>23</v>
      </c>
      <c r="C225">
        <v>305.83</v>
      </c>
      <c r="D225">
        <v>6</v>
      </c>
      <c r="E225">
        <v>49.46</v>
      </c>
      <c r="F225">
        <v>51</v>
      </c>
      <c r="G225">
        <v>43.5</v>
      </c>
      <c r="H225">
        <v>4</v>
      </c>
      <c r="I225" t="s">
        <v>33</v>
      </c>
      <c r="J225">
        <v>0</v>
      </c>
      <c r="K225">
        <v>45.3</v>
      </c>
      <c r="L225">
        <v>16</v>
      </c>
      <c r="M225" t="s">
        <v>29</v>
      </c>
      <c r="N225" t="s">
        <v>45</v>
      </c>
    </row>
    <row r="226" spans="1:14" x14ac:dyDescent="0.2">
      <c r="A226" t="s">
        <v>265</v>
      </c>
      <c r="B226" t="s">
        <v>23</v>
      </c>
      <c r="C226">
        <v>92.16</v>
      </c>
      <c r="D226">
        <v>2</v>
      </c>
      <c r="E226">
        <v>47.7</v>
      </c>
      <c r="F226">
        <v>92</v>
      </c>
      <c r="G226">
        <v>16.7</v>
      </c>
      <c r="H226">
        <v>3</v>
      </c>
      <c r="I226" t="s">
        <v>24</v>
      </c>
      <c r="J226">
        <v>2</v>
      </c>
      <c r="K226">
        <v>23.8</v>
      </c>
      <c r="L226">
        <v>10.1</v>
      </c>
      <c r="M226" t="s">
        <v>39</v>
      </c>
      <c r="N226" t="s">
        <v>45</v>
      </c>
    </row>
    <row r="227" spans="1:14" x14ac:dyDescent="0.2">
      <c r="A227" t="s">
        <v>266</v>
      </c>
      <c r="B227" t="s">
        <v>23</v>
      </c>
      <c r="C227">
        <v>57.92</v>
      </c>
      <c r="D227">
        <v>1</v>
      </c>
      <c r="E227">
        <v>54.18</v>
      </c>
      <c r="F227">
        <v>229</v>
      </c>
      <c r="G227">
        <v>8.3000000000000007</v>
      </c>
      <c r="H227">
        <v>2</v>
      </c>
      <c r="I227" t="s">
        <v>33</v>
      </c>
      <c r="J227">
        <v>0</v>
      </c>
      <c r="K227">
        <v>22.8</v>
      </c>
      <c r="L227">
        <v>7.6</v>
      </c>
      <c r="M227" t="s">
        <v>53</v>
      </c>
      <c r="N227" t="s">
        <v>43</v>
      </c>
    </row>
    <row r="228" spans="1:14" x14ac:dyDescent="0.2">
      <c r="A228" t="s">
        <v>267</v>
      </c>
      <c r="B228" t="s">
        <v>28</v>
      </c>
      <c r="C228">
        <v>742.1</v>
      </c>
      <c r="D228">
        <v>10</v>
      </c>
      <c r="E228">
        <v>74.64</v>
      </c>
      <c r="F228">
        <v>32</v>
      </c>
      <c r="G228">
        <v>19.600000000000001</v>
      </c>
      <c r="H228">
        <v>4</v>
      </c>
      <c r="I228" t="s">
        <v>24</v>
      </c>
      <c r="J228">
        <v>13</v>
      </c>
      <c r="K228">
        <v>62.1</v>
      </c>
      <c r="L228">
        <v>16.899999999999999</v>
      </c>
      <c r="M228" t="s">
        <v>29</v>
      </c>
      <c r="N228" t="s">
        <v>43</v>
      </c>
    </row>
    <row r="229" spans="1:14" x14ac:dyDescent="0.2">
      <c r="A229" t="s">
        <v>268</v>
      </c>
      <c r="B229" t="s">
        <v>23</v>
      </c>
      <c r="C229">
        <v>231.71</v>
      </c>
      <c r="D229">
        <v>4</v>
      </c>
      <c r="E229">
        <v>54.13</v>
      </c>
      <c r="F229">
        <v>41</v>
      </c>
      <c r="G229">
        <v>55.2</v>
      </c>
      <c r="H229">
        <v>2</v>
      </c>
      <c r="I229" t="s">
        <v>33</v>
      </c>
      <c r="J229">
        <v>0</v>
      </c>
      <c r="K229">
        <v>20.6</v>
      </c>
      <c r="L229">
        <v>12.3</v>
      </c>
      <c r="M229" t="s">
        <v>29</v>
      </c>
      <c r="N229" t="s">
        <v>43</v>
      </c>
    </row>
    <row r="230" spans="1:14" x14ac:dyDescent="0.2">
      <c r="A230" t="s">
        <v>269</v>
      </c>
      <c r="B230" t="s">
        <v>32</v>
      </c>
      <c r="C230">
        <v>73.87</v>
      </c>
      <c r="D230">
        <v>2</v>
      </c>
      <c r="E230">
        <v>35.119999999999997</v>
      </c>
      <c r="F230">
        <v>77</v>
      </c>
      <c r="G230">
        <v>43</v>
      </c>
      <c r="H230">
        <v>3</v>
      </c>
      <c r="I230" t="s">
        <v>24</v>
      </c>
      <c r="J230">
        <v>1</v>
      </c>
      <c r="K230">
        <v>19.3</v>
      </c>
      <c r="L230">
        <v>14.1</v>
      </c>
      <c r="M230" t="s">
        <v>47</v>
      </c>
      <c r="N230" t="s">
        <v>26</v>
      </c>
    </row>
    <row r="231" spans="1:14" x14ac:dyDescent="0.2">
      <c r="A231" t="s">
        <v>270</v>
      </c>
      <c r="B231" t="s">
        <v>35</v>
      </c>
      <c r="C231">
        <v>595.1</v>
      </c>
      <c r="D231">
        <v>7</v>
      </c>
      <c r="E231">
        <v>85.26</v>
      </c>
      <c r="F231">
        <v>7</v>
      </c>
      <c r="G231">
        <v>4.3</v>
      </c>
      <c r="H231">
        <v>3</v>
      </c>
      <c r="I231" t="s">
        <v>24</v>
      </c>
      <c r="J231">
        <v>16</v>
      </c>
      <c r="K231">
        <v>55.2</v>
      </c>
      <c r="L231">
        <v>11.7</v>
      </c>
      <c r="M231" t="s">
        <v>39</v>
      </c>
      <c r="N231" t="s">
        <v>45</v>
      </c>
    </row>
    <row r="232" spans="1:14" x14ac:dyDescent="0.2">
      <c r="A232" t="s">
        <v>271</v>
      </c>
      <c r="B232" t="s">
        <v>32</v>
      </c>
      <c r="C232">
        <v>115.72</v>
      </c>
      <c r="D232">
        <v>2</v>
      </c>
      <c r="E232">
        <v>61.62</v>
      </c>
      <c r="F232">
        <v>119</v>
      </c>
      <c r="G232">
        <v>34</v>
      </c>
      <c r="H232">
        <v>1</v>
      </c>
      <c r="I232" t="s">
        <v>33</v>
      </c>
      <c r="J232">
        <v>0</v>
      </c>
      <c r="K232">
        <v>31.2</v>
      </c>
      <c r="L232">
        <v>6.2</v>
      </c>
      <c r="M232" t="s">
        <v>29</v>
      </c>
      <c r="N232" t="s">
        <v>45</v>
      </c>
    </row>
    <row r="233" spans="1:14" x14ac:dyDescent="0.2">
      <c r="A233" t="s">
        <v>272</v>
      </c>
      <c r="B233" t="s">
        <v>58</v>
      </c>
      <c r="C233">
        <v>223.06</v>
      </c>
      <c r="D233">
        <v>5</v>
      </c>
      <c r="E233">
        <v>43.52</v>
      </c>
      <c r="F233">
        <v>29</v>
      </c>
      <c r="G233">
        <v>53.4</v>
      </c>
      <c r="H233">
        <v>3</v>
      </c>
      <c r="I233" t="s">
        <v>33</v>
      </c>
      <c r="J233">
        <v>0</v>
      </c>
      <c r="K233">
        <v>26.5</v>
      </c>
      <c r="L233">
        <v>8.8000000000000007</v>
      </c>
      <c r="M233" t="s">
        <v>39</v>
      </c>
      <c r="N233" t="s">
        <v>40</v>
      </c>
    </row>
    <row r="234" spans="1:14" x14ac:dyDescent="0.2">
      <c r="A234" t="s">
        <v>273</v>
      </c>
      <c r="B234" t="s">
        <v>58</v>
      </c>
      <c r="C234">
        <v>570.33000000000004</v>
      </c>
      <c r="D234">
        <v>8</v>
      </c>
      <c r="E234">
        <v>76.47</v>
      </c>
      <c r="F234">
        <v>26</v>
      </c>
      <c r="G234">
        <v>9.9</v>
      </c>
      <c r="H234">
        <v>3</v>
      </c>
      <c r="I234" t="s">
        <v>24</v>
      </c>
      <c r="J234">
        <v>11</v>
      </c>
      <c r="K234">
        <v>58.2</v>
      </c>
      <c r="L234">
        <v>18.399999999999999</v>
      </c>
      <c r="M234" t="s">
        <v>25</v>
      </c>
      <c r="N234" t="s">
        <v>40</v>
      </c>
    </row>
    <row r="235" spans="1:14" x14ac:dyDescent="0.2">
      <c r="A235" t="s">
        <v>274</v>
      </c>
      <c r="B235" t="s">
        <v>58</v>
      </c>
      <c r="C235">
        <v>452.74</v>
      </c>
      <c r="D235">
        <v>9</v>
      </c>
      <c r="E235">
        <v>51.5</v>
      </c>
      <c r="F235">
        <v>19</v>
      </c>
      <c r="G235">
        <v>19</v>
      </c>
      <c r="H235">
        <v>4</v>
      </c>
      <c r="I235" t="s">
        <v>24</v>
      </c>
      <c r="J235">
        <v>16</v>
      </c>
      <c r="K235">
        <v>50.4</v>
      </c>
      <c r="L235">
        <v>14.6</v>
      </c>
      <c r="M235" t="s">
        <v>25</v>
      </c>
      <c r="N235" t="s">
        <v>30</v>
      </c>
    </row>
    <row r="236" spans="1:14" x14ac:dyDescent="0.2">
      <c r="A236" t="s">
        <v>275</v>
      </c>
      <c r="B236" t="s">
        <v>37</v>
      </c>
      <c r="C236">
        <v>189.73</v>
      </c>
      <c r="D236">
        <v>4</v>
      </c>
      <c r="E236">
        <v>44.72</v>
      </c>
      <c r="F236">
        <v>149</v>
      </c>
      <c r="G236">
        <v>16.399999999999999</v>
      </c>
      <c r="H236">
        <v>1</v>
      </c>
      <c r="I236" t="s">
        <v>33</v>
      </c>
      <c r="J236">
        <v>0</v>
      </c>
      <c r="K236">
        <v>18.8</v>
      </c>
      <c r="L236">
        <v>1.4</v>
      </c>
      <c r="M236" t="s">
        <v>39</v>
      </c>
      <c r="N236" t="s">
        <v>45</v>
      </c>
    </row>
    <row r="237" spans="1:14" x14ac:dyDescent="0.2">
      <c r="A237" t="s">
        <v>276</v>
      </c>
      <c r="B237" t="s">
        <v>32</v>
      </c>
      <c r="C237">
        <v>425.64</v>
      </c>
      <c r="D237">
        <v>7</v>
      </c>
      <c r="E237">
        <v>56.86</v>
      </c>
      <c r="F237">
        <v>45</v>
      </c>
      <c r="G237">
        <v>13.9</v>
      </c>
      <c r="H237">
        <v>4</v>
      </c>
      <c r="I237" t="s">
        <v>33</v>
      </c>
      <c r="J237">
        <v>0</v>
      </c>
      <c r="K237">
        <v>60.2</v>
      </c>
      <c r="L237">
        <v>14.7</v>
      </c>
      <c r="M237" t="s">
        <v>39</v>
      </c>
      <c r="N237" t="s">
        <v>40</v>
      </c>
    </row>
    <row r="238" spans="1:14" x14ac:dyDescent="0.2">
      <c r="A238" t="s">
        <v>277</v>
      </c>
      <c r="B238" t="s">
        <v>23</v>
      </c>
      <c r="C238">
        <v>337.85</v>
      </c>
      <c r="D238">
        <v>5</v>
      </c>
      <c r="E238">
        <v>64.23</v>
      </c>
      <c r="F238">
        <v>65</v>
      </c>
      <c r="G238">
        <v>13.3</v>
      </c>
      <c r="H238">
        <v>5</v>
      </c>
      <c r="I238" t="s">
        <v>33</v>
      </c>
      <c r="J238">
        <v>0</v>
      </c>
      <c r="K238">
        <v>64.3</v>
      </c>
      <c r="L238">
        <v>21.1</v>
      </c>
      <c r="M238" t="s">
        <v>53</v>
      </c>
      <c r="N238" t="s">
        <v>45</v>
      </c>
    </row>
    <row r="239" spans="1:14" x14ac:dyDescent="0.2">
      <c r="A239" t="s">
        <v>278</v>
      </c>
      <c r="B239" t="s">
        <v>37</v>
      </c>
      <c r="C239">
        <v>168.5</v>
      </c>
      <c r="D239">
        <v>4</v>
      </c>
      <c r="E239">
        <v>43.87</v>
      </c>
      <c r="F239">
        <v>64</v>
      </c>
      <c r="G239">
        <v>45</v>
      </c>
      <c r="H239">
        <v>3</v>
      </c>
      <c r="I239" t="s">
        <v>33</v>
      </c>
      <c r="J239">
        <v>0</v>
      </c>
      <c r="K239">
        <v>45.3</v>
      </c>
      <c r="L239">
        <v>9.1</v>
      </c>
      <c r="M239" t="s">
        <v>29</v>
      </c>
      <c r="N239" t="s">
        <v>43</v>
      </c>
    </row>
    <row r="240" spans="1:14" x14ac:dyDescent="0.2">
      <c r="A240" t="s">
        <v>279</v>
      </c>
      <c r="B240" t="s">
        <v>35</v>
      </c>
      <c r="C240">
        <v>252.37</v>
      </c>
      <c r="D240">
        <v>5</v>
      </c>
      <c r="E240">
        <v>51.75</v>
      </c>
      <c r="F240">
        <v>42</v>
      </c>
      <c r="G240">
        <v>24.6</v>
      </c>
      <c r="H240">
        <v>1</v>
      </c>
      <c r="I240" t="s">
        <v>24</v>
      </c>
      <c r="J240">
        <v>8</v>
      </c>
      <c r="K240">
        <v>53.1</v>
      </c>
      <c r="L240">
        <v>7.2</v>
      </c>
      <c r="M240" t="s">
        <v>47</v>
      </c>
      <c r="N240" t="s">
        <v>43</v>
      </c>
    </row>
    <row r="241" spans="1:14" x14ac:dyDescent="0.2">
      <c r="A241" t="s">
        <v>280</v>
      </c>
      <c r="B241" t="s">
        <v>37</v>
      </c>
      <c r="C241">
        <v>254.34</v>
      </c>
      <c r="D241">
        <v>4</v>
      </c>
      <c r="E241">
        <v>62</v>
      </c>
      <c r="F241">
        <v>166</v>
      </c>
      <c r="G241">
        <v>20.7</v>
      </c>
      <c r="H241">
        <v>1</v>
      </c>
      <c r="I241" t="s">
        <v>33</v>
      </c>
      <c r="J241">
        <v>0</v>
      </c>
      <c r="K241">
        <v>28.8</v>
      </c>
      <c r="L241">
        <v>5.2</v>
      </c>
      <c r="M241" t="s">
        <v>47</v>
      </c>
      <c r="N241" t="s">
        <v>26</v>
      </c>
    </row>
    <row r="242" spans="1:14" x14ac:dyDescent="0.2">
      <c r="A242" t="s">
        <v>281</v>
      </c>
      <c r="B242" t="s">
        <v>28</v>
      </c>
      <c r="C242">
        <v>203.04</v>
      </c>
      <c r="D242">
        <v>4</v>
      </c>
      <c r="E242">
        <v>51.43</v>
      </c>
      <c r="F242">
        <v>11</v>
      </c>
      <c r="G242">
        <v>29.6</v>
      </c>
      <c r="H242">
        <v>5</v>
      </c>
      <c r="I242" t="s">
        <v>24</v>
      </c>
      <c r="J242">
        <v>1</v>
      </c>
      <c r="K242">
        <v>60.6</v>
      </c>
      <c r="L242">
        <v>11.4</v>
      </c>
      <c r="M242" t="s">
        <v>25</v>
      </c>
      <c r="N242" t="s">
        <v>40</v>
      </c>
    </row>
    <row r="243" spans="1:14" x14ac:dyDescent="0.2">
      <c r="A243" t="s">
        <v>282</v>
      </c>
      <c r="B243" t="s">
        <v>28</v>
      </c>
      <c r="C243">
        <v>238.85</v>
      </c>
      <c r="D243">
        <v>5</v>
      </c>
      <c r="E243">
        <v>45.11</v>
      </c>
      <c r="F243">
        <v>36</v>
      </c>
      <c r="G243">
        <v>51</v>
      </c>
      <c r="H243">
        <v>2</v>
      </c>
      <c r="I243" t="s">
        <v>24</v>
      </c>
      <c r="J243">
        <v>2</v>
      </c>
      <c r="K243">
        <v>41.4</v>
      </c>
      <c r="L243">
        <v>8.5</v>
      </c>
      <c r="M243" t="s">
        <v>47</v>
      </c>
      <c r="N243" t="s">
        <v>30</v>
      </c>
    </row>
    <row r="244" spans="1:14" x14ac:dyDescent="0.2">
      <c r="A244" t="s">
        <v>283</v>
      </c>
      <c r="B244" t="s">
        <v>28</v>
      </c>
      <c r="C244">
        <v>98.81</v>
      </c>
      <c r="D244">
        <v>2</v>
      </c>
      <c r="E244">
        <v>53.33</v>
      </c>
      <c r="F244">
        <v>54</v>
      </c>
      <c r="G244">
        <v>29.4</v>
      </c>
      <c r="H244">
        <v>3</v>
      </c>
      <c r="I244" t="s">
        <v>24</v>
      </c>
      <c r="J244">
        <v>2</v>
      </c>
      <c r="K244">
        <v>22.2</v>
      </c>
      <c r="L244">
        <v>3</v>
      </c>
      <c r="M244" t="s">
        <v>25</v>
      </c>
      <c r="N244" t="s">
        <v>43</v>
      </c>
    </row>
    <row r="245" spans="1:14" x14ac:dyDescent="0.2">
      <c r="A245" t="s">
        <v>284</v>
      </c>
      <c r="B245" t="s">
        <v>23</v>
      </c>
      <c r="C245">
        <v>145.76</v>
      </c>
      <c r="D245">
        <v>4</v>
      </c>
      <c r="E245">
        <v>34.229999999999997</v>
      </c>
      <c r="F245">
        <v>141</v>
      </c>
      <c r="G245">
        <v>36.9</v>
      </c>
      <c r="H245">
        <v>2</v>
      </c>
      <c r="I245" t="s">
        <v>33</v>
      </c>
      <c r="J245">
        <v>0</v>
      </c>
      <c r="K245">
        <v>13.8</v>
      </c>
      <c r="L245">
        <v>7.8</v>
      </c>
      <c r="M245" t="s">
        <v>55</v>
      </c>
      <c r="N245" t="s">
        <v>30</v>
      </c>
    </row>
    <row r="246" spans="1:14" x14ac:dyDescent="0.2">
      <c r="A246" t="s">
        <v>285</v>
      </c>
      <c r="B246" t="s">
        <v>37</v>
      </c>
      <c r="C246">
        <v>186.92</v>
      </c>
      <c r="D246">
        <v>7</v>
      </c>
      <c r="E246">
        <v>24.98</v>
      </c>
      <c r="F246">
        <v>27</v>
      </c>
      <c r="G246">
        <v>46.8</v>
      </c>
      <c r="H246">
        <v>3</v>
      </c>
      <c r="I246" t="s">
        <v>24</v>
      </c>
      <c r="J246">
        <v>7</v>
      </c>
      <c r="K246">
        <v>44.4</v>
      </c>
      <c r="L246">
        <v>7.8</v>
      </c>
      <c r="M246" t="s">
        <v>25</v>
      </c>
      <c r="N246" t="s">
        <v>30</v>
      </c>
    </row>
    <row r="247" spans="1:14" x14ac:dyDescent="0.2">
      <c r="A247" t="s">
        <v>286</v>
      </c>
      <c r="B247" t="s">
        <v>28</v>
      </c>
      <c r="C247">
        <v>188.9</v>
      </c>
      <c r="D247">
        <v>4</v>
      </c>
      <c r="E247">
        <v>49.93</v>
      </c>
      <c r="F247">
        <v>28</v>
      </c>
      <c r="G247">
        <v>34.4</v>
      </c>
      <c r="H247">
        <v>2</v>
      </c>
      <c r="I247" t="s">
        <v>24</v>
      </c>
      <c r="J247">
        <v>6</v>
      </c>
      <c r="K247">
        <v>54.7</v>
      </c>
      <c r="L247">
        <v>1.1000000000000001</v>
      </c>
      <c r="M247" t="s">
        <v>39</v>
      </c>
      <c r="N247" t="s">
        <v>43</v>
      </c>
    </row>
    <row r="248" spans="1:14" x14ac:dyDescent="0.2">
      <c r="A248" t="s">
        <v>287</v>
      </c>
      <c r="B248" t="s">
        <v>23</v>
      </c>
      <c r="C248">
        <v>395.53</v>
      </c>
      <c r="D248">
        <v>7</v>
      </c>
      <c r="E248">
        <v>60.82</v>
      </c>
      <c r="F248">
        <v>43</v>
      </c>
      <c r="G248">
        <v>19.899999999999999</v>
      </c>
      <c r="H248">
        <v>4</v>
      </c>
      <c r="I248" t="s">
        <v>24</v>
      </c>
      <c r="J248">
        <v>5</v>
      </c>
      <c r="K248">
        <v>65</v>
      </c>
      <c r="L248">
        <v>8.6999999999999993</v>
      </c>
      <c r="M248" t="s">
        <v>25</v>
      </c>
      <c r="N248" t="s">
        <v>26</v>
      </c>
    </row>
    <row r="249" spans="1:14" x14ac:dyDescent="0.2">
      <c r="A249" t="s">
        <v>288</v>
      </c>
      <c r="B249" t="s">
        <v>28</v>
      </c>
      <c r="C249">
        <v>95.7</v>
      </c>
      <c r="D249">
        <v>2</v>
      </c>
      <c r="E249">
        <v>50.01</v>
      </c>
      <c r="F249">
        <v>167</v>
      </c>
      <c r="G249">
        <v>12.5</v>
      </c>
      <c r="H249">
        <v>1</v>
      </c>
      <c r="I249" t="s">
        <v>33</v>
      </c>
      <c r="J249">
        <v>0</v>
      </c>
      <c r="K249">
        <v>28.2</v>
      </c>
      <c r="L249">
        <v>4.0999999999999996</v>
      </c>
      <c r="M249" t="s">
        <v>55</v>
      </c>
      <c r="N249" t="s">
        <v>30</v>
      </c>
    </row>
    <row r="250" spans="1:14" x14ac:dyDescent="0.2">
      <c r="A250" t="s">
        <v>289</v>
      </c>
      <c r="B250" t="s">
        <v>28</v>
      </c>
      <c r="C250">
        <v>254.01</v>
      </c>
      <c r="D250">
        <v>6</v>
      </c>
      <c r="E250">
        <v>44.8</v>
      </c>
      <c r="F250">
        <v>52</v>
      </c>
      <c r="G250">
        <v>21</v>
      </c>
      <c r="H250">
        <v>5</v>
      </c>
      <c r="I250" t="s">
        <v>33</v>
      </c>
      <c r="J250">
        <v>0</v>
      </c>
      <c r="K250">
        <v>44.2</v>
      </c>
      <c r="L250">
        <v>18.899999999999999</v>
      </c>
      <c r="M250" t="s">
        <v>39</v>
      </c>
      <c r="N250" t="s">
        <v>30</v>
      </c>
    </row>
    <row r="251" spans="1:14" x14ac:dyDescent="0.2">
      <c r="A251" t="s">
        <v>290</v>
      </c>
      <c r="B251" t="s">
        <v>32</v>
      </c>
      <c r="C251">
        <v>213.94</v>
      </c>
      <c r="D251">
        <v>3</v>
      </c>
      <c r="E251">
        <v>69.98</v>
      </c>
      <c r="F251">
        <v>51</v>
      </c>
      <c r="G251">
        <v>14</v>
      </c>
      <c r="H251">
        <v>5</v>
      </c>
      <c r="I251" t="s">
        <v>33</v>
      </c>
      <c r="J251">
        <v>0</v>
      </c>
      <c r="K251">
        <v>66.3</v>
      </c>
      <c r="L251">
        <v>11.6</v>
      </c>
      <c r="M251" t="s">
        <v>47</v>
      </c>
      <c r="N251" t="s">
        <v>45</v>
      </c>
    </row>
    <row r="252" spans="1:14" x14ac:dyDescent="0.2">
      <c r="A252" t="s">
        <v>291</v>
      </c>
      <c r="B252" t="s">
        <v>23</v>
      </c>
      <c r="C252">
        <v>36.909999999999997</v>
      </c>
      <c r="D252">
        <v>1</v>
      </c>
      <c r="E252">
        <v>36.58</v>
      </c>
      <c r="F252">
        <v>172</v>
      </c>
      <c r="G252">
        <v>3.2</v>
      </c>
      <c r="H252">
        <v>1</v>
      </c>
      <c r="I252" t="s">
        <v>33</v>
      </c>
      <c r="J252">
        <v>0</v>
      </c>
      <c r="K252">
        <v>29.4</v>
      </c>
      <c r="L252">
        <v>6.6</v>
      </c>
      <c r="M252" t="s">
        <v>25</v>
      </c>
      <c r="N252" t="s">
        <v>30</v>
      </c>
    </row>
    <row r="253" spans="1:14" x14ac:dyDescent="0.2">
      <c r="A253" t="s">
        <v>292</v>
      </c>
      <c r="B253" t="s">
        <v>23</v>
      </c>
      <c r="C253">
        <v>158.29</v>
      </c>
      <c r="D253">
        <v>3</v>
      </c>
      <c r="E253">
        <v>51.91</v>
      </c>
      <c r="F253">
        <v>49</v>
      </c>
      <c r="G253">
        <v>18.3</v>
      </c>
      <c r="H253">
        <v>5</v>
      </c>
      <c r="I253" t="s">
        <v>24</v>
      </c>
      <c r="J253">
        <v>9</v>
      </c>
      <c r="K253">
        <v>57</v>
      </c>
      <c r="L253">
        <v>21.4</v>
      </c>
      <c r="M253" t="s">
        <v>47</v>
      </c>
      <c r="N253" t="s">
        <v>45</v>
      </c>
    </row>
    <row r="254" spans="1:14" x14ac:dyDescent="0.2">
      <c r="A254" t="s">
        <v>293</v>
      </c>
      <c r="B254" t="s">
        <v>32</v>
      </c>
      <c r="C254">
        <v>238.2</v>
      </c>
      <c r="D254">
        <v>3</v>
      </c>
      <c r="E254">
        <v>76.38</v>
      </c>
      <c r="F254">
        <v>116</v>
      </c>
      <c r="G254">
        <v>5.4</v>
      </c>
      <c r="H254">
        <v>1</v>
      </c>
      <c r="I254" t="s">
        <v>33</v>
      </c>
      <c r="J254">
        <v>0</v>
      </c>
      <c r="K254">
        <v>27.8</v>
      </c>
      <c r="L254">
        <v>6.9</v>
      </c>
      <c r="M254" t="s">
        <v>25</v>
      </c>
      <c r="N254" t="s">
        <v>30</v>
      </c>
    </row>
    <row r="255" spans="1:14" x14ac:dyDescent="0.2">
      <c r="A255" t="s">
        <v>294</v>
      </c>
      <c r="B255" t="s">
        <v>23</v>
      </c>
      <c r="C255">
        <v>58.08</v>
      </c>
      <c r="D255">
        <v>1</v>
      </c>
      <c r="E255">
        <v>58.41</v>
      </c>
      <c r="F255">
        <v>101</v>
      </c>
      <c r="G255">
        <v>12.1</v>
      </c>
      <c r="H255">
        <v>3</v>
      </c>
      <c r="I255" t="s">
        <v>33</v>
      </c>
      <c r="J255">
        <v>0</v>
      </c>
      <c r="K255">
        <v>20.3</v>
      </c>
      <c r="L255">
        <v>6.6</v>
      </c>
      <c r="M255" t="s">
        <v>53</v>
      </c>
      <c r="N255" t="s">
        <v>30</v>
      </c>
    </row>
    <row r="256" spans="1:14" x14ac:dyDescent="0.2">
      <c r="A256" t="s">
        <v>295</v>
      </c>
      <c r="B256" t="s">
        <v>37</v>
      </c>
      <c r="C256">
        <v>77.94</v>
      </c>
      <c r="D256">
        <v>1</v>
      </c>
      <c r="E256">
        <v>77.94</v>
      </c>
      <c r="F256">
        <v>148</v>
      </c>
      <c r="G256">
        <v>9.1999999999999993</v>
      </c>
      <c r="H256">
        <v>3</v>
      </c>
      <c r="I256" t="s">
        <v>33</v>
      </c>
      <c r="J256">
        <v>0</v>
      </c>
      <c r="K256">
        <v>12</v>
      </c>
      <c r="L256">
        <v>9.9</v>
      </c>
      <c r="M256" t="s">
        <v>25</v>
      </c>
      <c r="N256" t="s">
        <v>45</v>
      </c>
    </row>
    <row r="257" spans="1:14" x14ac:dyDescent="0.2">
      <c r="A257" t="s">
        <v>296</v>
      </c>
      <c r="B257" t="s">
        <v>58</v>
      </c>
      <c r="C257">
        <v>140.47999999999999</v>
      </c>
      <c r="D257">
        <v>4</v>
      </c>
      <c r="E257">
        <v>34.979999999999997</v>
      </c>
      <c r="F257">
        <v>132</v>
      </c>
      <c r="G257">
        <v>32.6</v>
      </c>
      <c r="H257">
        <v>2</v>
      </c>
      <c r="I257" t="s">
        <v>33</v>
      </c>
      <c r="J257">
        <v>0</v>
      </c>
      <c r="K257">
        <v>14</v>
      </c>
      <c r="L257">
        <v>8.1</v>
      </c>
      <c r="M257" t="s">
        <v>25</v>
      </c>
      <c r="N257" t="s">
        <v>43</v>
      </c>
    </row>
    <row r="258" spans="1:14" x14ac:dyDescent="0.2">
      <c r="A258" t="s">
        <v>297</v>
      </c>
      <c r="B258" t="s">
        <v>28</v>
      </c>
      <c r="C258">
        <v>689.27</v>
      </c>
      <c r="D258">
        <v>9</v>
      </c>
      <c r="E258">
        <v>74.98</v>
      </c>
      <c r="F258">
        <v>36</v>
      </c>
      <c r="G258">
        <v>15.8</v>
      </c>
      <c r="H258">
        <v>4</v>
      </c>
      <c r="I258" t="s">
        <v>24</v>
      </c>
      <c r="J258">
        <v>12</v>
      </c>
      <c r="K258">
        <v>63.8</v>
      </c>
      <c r="L258">
        <v>10.3</v>
      </c>
      <c r="M258" t="s">
        <v>25</v>
      </c>
      <c r="N258" t="s">
        <v>26</v>
      </c>
    </row>
    <row r="259" spans="1:14" x14ac:dyDescent="0.2">
      <c r="A259" t="s">
        <v>298</v>
      </c>
      <c r="B259" t="s">
        <v>35</v>
      </c>
      <c r="C259">
        <v>229.99</v>
      </c>
      <c r="D259">
        <v>4</v>
      </c>
      <c r="E259">
        <v>58.41</v>
      </c>
      <c r="F259">
        <v>56</v>
      </c>
      <c r="G259">
        <v>17</v>
      </c>
      <c r="H259">
        <v>5</v>
      </c>
      <c r="I259" t="s">
        <v>24</v>
      </c>
      <c r="J259">
        <v>13</v>
      </c>
      <c r="K259">
        <v>40.4</v>
      </c>
      <c r="L259">
        <v>14.4</v>
      </c>
      <c r="M259" t="s">
        <v>39</v>
      </c>
      <c r="N259" t="s">
        <v>26</v>
      </c>
    </row>
    <row r="260" spans="1:14" x14ac:dyDescent="0.2">
      <c r="A260" t="s">
        <v>299</v>
      </c>
      <c r="B260" t="s">
        <v>58</v>
      </c>
      <c r="C260">
        <v>361.25</v>
      </c>
      <c r="D260">
        <v>6</v>
      </c>
      <c r="E260">
        <v>64.489999999999995</v>
      </c>
      <c r="F260">
        <v>59</v>
      </c>
      <c r="G260">
        <v>16.8</v>
      </c>
      <c r="H260">
        <v>6</v>
      </c>
      <c r="I260" t="s">
        <v>33</v>
      </c>
      <c r="J260">
        <v>0</v>
      </c>
      <c r="K260">
        <v>49.3</v>
      </c>
      <c r="L260">
        <v>16</v>
      </c>
      <c r="M260" t="s">
        <v>39</v>
      </c>
      <c r="N260" t="s">
        <v>45</v>
      </c>
    </row>
    <row r="261" spans="1:14" x14ac:dyDescent="0.2">
      <c r="A261" t="s">
        <v>300</v>
      </c>
      <c r="B261" t="s">
        <v>37</v>
      </c>
      <c r="C261">
        <v>659.54</v>
      </c>
      <c r="D261">
        <v>13</v>
      </c>
      <c r="E261">
        <v>50.48</v>
      </c>
      <c r="F261">
        <v>5</v>
      </c>
      <c r="G261">
        <v>17.3</v>
      </c>
      <c r="H261">
        <v>5</v>
      </c>
      <c r="I261" t="s">
        <v>24</v>
      </c>
      <c r="J261">
        <v>10</v>
      </c>
      <c r="K261">
        <v>48.6</v>
      </c>
      <c r="L261">
        <v>15.8</v>
      </c>
      <c r="M261" t="s">
        <v>25</v>
      </c>
      <c r="N261" t="s">
        <v>30</v>
      </c>
    </row>
    <row r="262" spans="1:14" x14ac:dyDescent="0.2">
      <c r="A262" t="s">
        <v>301</v>
      </c>
      <c r="B262" t="s">
        <v>35</v>
      </c>
      <c r="C262">
        <v>354.82</v>
      </c>
      <c r="D262">
        <v>5</v>
      </c>
      <c r="E262">
        <v>69.489999999999995</v>
      </c>
      <c r="F262">
        <v>13</v>
      </c>
      <c r="G262">
        <v>29.4</v>
      </c>
      <c r="H262">
        <v>3</v>
      </c>
      <c r="I262" t="s">
        <v>24</v>
      </c>
      <c r="J262">
        <v>11</v>
      </c>
      <c r="K262">
        <v>59.4</v>
      </c>
      <c r="L262">
        <v>9</v>
      </c>
      <c r="M262" t="s">
        <v>47</v>
      </c>
      <c r="N262" t="s">
        <v>30</v>
      </c>
    </row>
    <row r="263" spans="1:14" x14ac:dyDescent="0.2">
      <c r="A263" t="s">
        <v>302</v>
      </c>
      <c r="B263" t="s">
        <v>28</v>
      </c>
      <c r="C263">
        <v>538.29</v>
      </c>
      <c r="D263">
        <v>7</v>
      </c>
      <c r="E263">
        <v>74.17</v>
      </c>
      <c r="F263">
        <v>37</v>
      </c>
      <c r="G263">
        <v>5.8</v>
      </c>
      <c r="H263">
        <v>5</v>
      </c>
      <c r="I263" t="s">
        <v>33</v>
      </c>
      <c r="J263">
        <v>0</v>
      </c>
      <c r="K263">
        <v>56</v>
      </c>
      <c r="L263">
        <v>21.4</v>
      </c>
      <c r="M263" t="s">
        <v>39</v>
      </c>
      <c r="N263" t="s">
        <v>43</v>
      </c>
    </row>
    <row r="264" spans="1:14" x14ac:dyDescent="0.2">
      <c r="A264" t="s">
        <v>303</v>
      </c>
      <c r="B264" t="s">
        <v>37</v>
      </c>
      <c r="C264">
        <v>137.69</v>
      </c>
      <c r="D264">
        <v>3</v>
      </c>
      <c r="E264">
        <v>45.6</v>
      </c>
      <c r="F264">
        <v>19</v>
      </c>
      <c r="G264">
        <v>73</v>
      </c>
      <c r="H264">
        <v>2</v>
      </c>
      <c r="I264" t="s">
        <v>24</v>
      </c>
      <c r="J264">
        <v>7</v>
      </c>
      <c r="K264">
        <v>63.5</v>
      </c>
      <c r="L264">
        <v>7.4</v>
      </c>
      <c r="M264" t="s">
        <v>39</v>
      </c>
      <c r="N264" t="s">
        <v>26</v>
      </c>
    </row>
    <row r="265" spans="1:14" x14ac:dyDescent="0.2">
      <c r="A265" t="s">
        <v>304</v>
      </c>
      <c r="B265" t="s">
        <v>58</v>
      </c>
      <c r="C265">
        <v>127.2</v>
      </c>
      <c r="D265">
        <v>3</v>
      </c>
      <c r="E265">
        <v>44.15</v>
      </c>
      <c r="F265">
        <v>151</v>
      </c>
      <c r="G265">
        <v>6.5</v>
      </c>
      <c r="H265">
        <v>3</v>
      </c>
      <c r="I265" t="s">
        <v>24</v>
      </c>
      <c r="J265">
        <v>3</v>
      </c>
      <c r="K265">
        <v>37.799999999999997</v>
      </c>
      <c r="L265">
        <v>4.9000000000000004</v>
      </c>
      <c r="M265" t="s">
        <v>39</v>
      </c>
      <c r="N265" t="s">
        <v>26</v>
      </c>
    </row>
    <row r="266" spans="1:14" x14ac:dyDescent="0.2">
      <c r="A266" t="s">
        <v>305</v>
      </c>
      <c r="B266" t="s">
        <v>32</v>
      </c>
      <c r="C266">
        <v>513.48</v>
      </c>
      <c r="D266">
        <v>9</v>
      </c>
      <c r="E266">
        <v>56.54</v>
      </c>
      <c r="F266">
        <v>30</v>
      </c>
      <c r="G266">
        <v>21.5</v>
      </c>
      <c r="H266">
        <v>5</v>
      </c>
      <c r="I266" t="s">
        <v>24</v>
      </c>
      <c r="J266">
        <v>6</v>
      </c>
      <c r="K266">
        <v>63.2</v>
      </c>
      <c r="L266">
        <v>11.4</v>
      </c>
      <c r="M266" t="s">
        <v>39</v>
      </c>
      <c r="N266" t="s">
        <v>43</v>
      </c>
    </row>
    <row r="267" spans="1:14" x14ac:dyDescent="0.2">
      <c r="A267" t="s">
        <v>306</v>
      </c>
      <c r="B267" t="s">
        <v>32</v>
      </c>
      <c r="C267">
        <v>358.19</v>
      </c>
      <c r="D267">
        <v>6</v>
      </c>
      <c r="E267">
        <v>55.82</v>
      </c>
      <c r="F267">
        <v>57</v>
      </c>
      <c r="G267">
        <v>15.7</v>
      </c>
      <c r="H267">
        <v>4</v>
      </c>
      <c r="I267" t="s">
        <v>33</v>
      </c>
      <c r="J267">
        <v>0</v>
      </c>
      <c r="K267">
        <v>64.3</v>
      </c>
      <c r="L267">
        <v>1.7</v>
      </c>
      <c r="M267" t="s">
        <v>39</v>
      </c>
      <c r="N267" t="s">
        <v>30</v>
      </c>
    </row>
    <row r="268" spans="1:14" x14ac:dyDescent="0.2">
      <c r="A268" t="s">
        <v>307</v>
      </c>
      <c r="B268" t="s">
        <v>35</v>
      </c>
      <c r="C268">
        <v>109.35</v>
      </c>
      <c r="D268">
        <v>2</v>
      </c>
      <c r="E268">
        <v>53.33</v>
      </c>
      <c r="F268">
        <v>42</v>
      </c>
      <c r="G268">
        <v>22.6</v>
      </c>
      <c r="H268">
        <v>5</v>
      </c>
      <c r="I268" t="s">
        <v>24</v>
      </c>
      <c r="J268">
        <v>7</v>
      </c>
      <c r="K268">
        <v>43.1</v>
      </c>
      <c r="L268">
        <v>6.7</v>
      </c>
      <c r="M268" t="s">
        <v>25</v>
      </c>
      <c r="N268" t="s">
        <v>43</v>
      </c>
    </row>
    <row r="269" spans="1:14" x14ac:dyDescent="0.2">
      <c r="A269" t="s">
        <v>308</v>
      </c>
      <c r="B269" t="s">
        <v>35</v>
      </c>
      <c r="C269">
        <v>182.84</v>
      </c>
      <c r="D269">
        <v>6</v>
      </c>
      <c r="E269">
        <v>32.770000000000003</v>
      </c>
      <c r="F269">
        <v>4</v>
      </c>
      <c r="G269">
        <v>27.8</v>
      </c>
      <c r="H269">
        <v>1</v>
      </c>
      <c r="I269" t="s">
        <v>33</v>
      </c>
      <c r="J269">
        <v>0</v>
      </c>
      <c r="K269">
        <v>57.9</v>
      </c>
      <c r="L269">
        <v>6.9</v>
      </c>
      <c r="M269" t="s">
        <v>25</v>
      </c>
      <c r="N269" t="s">
        <v>43</v>
      </c>
    </row>
    <row r="270" spans="1:14" x14ac:dyDescent="0.2">
      <c r="A270" t="s">
        <v>309</v>
      </c>
      <c r="B270" t="s">
        <v>23</v>
      </c>
      <c r="C270">
        <v>576.33000000000004</v>
      </c>
      <c r="D270">
        <v>8</v>
      </c>
      <c r="E270">
        <v>73.31</v>
      </c>
      <c r="F270">
        <v>9</v>
      </c>
      <c r="G270">
        <v>11.5</v>
      </c>
      <c r="H270">
        <v>5</v>
      </c>
      <c r="I270" t="s">
        <v>24</v>
      </c>
      <c r="J270">
        <v>19</v>
      </c>
      <c r="K270">
        <v>46</v>
      </c>
      <c r="L270">
        <v>14.2</v>
      </c>
      <c r="M270" t="s">
        <v>53</v>
      </c>
      <c r="N270" t="s">
        <v>40</v>
      </c>
    </row>
    <row r="271" spans="1:14" x14ac:dyDescent="0.2">
      <c r="A271" t="s">
        <v>310</v>
      </c>
      <c r="B271" t="s">
        <v>23</v>
      </c>
      <c r="C271">
        <v>236.17</v>
      </c>
      <c r="D271">
        <v>7</v>
      </c>
      <c r="E271">
        <v>36.17</v>
      </c>
      <c r="F271">
        <v>63</v>
      </c>
      <c r="G271">
        <v>74</v>
      </c>
      <c r="H271">
        <v>3</v>
      </c>
      <c r="I271" t="s">
        <v>33</v>
      </c>
      <c r="J271">
        <v>0</v>
      </c>
      <c r="K271">
        <v>48.3</v>
      </c>
      <c r="L271">
        <v>10.7</v>
      </c>
      <c r="M271" t="s">
        <v>55</v>
      </c>
      <c r="N271" t="s">
        <v>43</v>
      </c>
    </row>
    <row r="272" spans="1:14" x14ac:dyDescent="0.2">
      <c r="A272" t="s">
        <v>311</v>
      </c>
      <c r="B272" t="s">
        <v>32</v>
      </c>
      <c r="C272">
        <v>265.36</v>
      </c>
      <c r="D272">
        <v>4</v>
      </c>
      <c r="E272">
        <v>65.34</v>
      </c>
      <c r="F272">
        <v>69</v>
      </c>
      <c r="G272">
        <v>23.4</v>
      </c>
      <c r="H272">
        <v>1</v>
      </c>
      <c r="I272" t="s">
        <v>33</v>
      </c>
      <c r="J272">
        <v>0</v>
      </c>
      <c r="K272">
        <v>20.2</v>
      </c>
      <c r="L272">
        <v>1.6</v>
      </c>
      <c r="M272" t="s">
        <v>29</v>
      </c>
      <c r="N272" t="s">
        <v>30</v>
      </c>
    </row>
    <row r="273" spans="1:14" x14ac:dyDescent="0.2">
      <c r="A273" t="s">
        <v>312</v>
      </c>
      <c r="B273" t="s">
        <v>32</v>
      </c>
      <c r="C273">
        <v>396.9</v>
      </c>
      <c r="D273">
        <v>6</v>
      </c>
      <c r="E273">
        <v>71.400000000000006</v>
      </c>
      <c r="F273">
        <v>27</v>
      </c>
      <c r="G273">
        <v>48.7</v>
      </c>
      <c r="H273">
        <v>5</v>
      </c>
      <c r="I273" t="s">
        <v>24</v>
      </c>
      <c r="J273">
        <v>9</v>
      </c>
      <c r="K273">
        <v>53.6</v>
      </c>
      <c r="L273">
        <v>8.9</v>
      </c>
      <c r="M273" t="s">
        <v>29</v>
      </c>
      <c r="N273" t="s">
        <v>45</v>
      </c>
    </row>
    <row r="274" spans="1:14" x14ac:dyDescent="0.2">
      <c r="A274" t="s">
        <v>313</v>
      </c>
      <c r="B274" t="s">
        <v>32</v>
      </c>
      <c r="C274">
        <v>69.489999999999995</v>
      </c>
      <c r="D274">
        <v>3</v>
      </c>
      <c r="E274">
        <v>24.61</v>
      </c>
      <c r="F274">
        <v>145</v>
      </c>
      <c r="G274">
        <v>28.8</v>
      </c>
      <c r="H274">
        <v>1</v>
      </c>
      <c r="I274" t="s">
        <v>33</v>
      </c>
      <c r="J274">
        <v>0</v>
      </c>
      <c r="K274">
        <v>38.4</v>
      </c>
      <c r="L274">
        <v>3.2</v>
      </c>
      <c r="M274" t="s">
        <v>47</v>
      </c>
      <c r="N274" t="s">
        <v>43</v>
      </c>
    </row>
    <row r="275" spans="1:14" x14ac:dyDescent="0.2">
      <c r="A275" t="s">
        <v>314</v>
      </c>
      <c r="B275" t="s">
        <v>28</v>
      </c>
      <c r="C275">
        <v>767.46</v>
      </c>
      <c r="D275">
        <v>9</v>
      </c>
      <c r="E275">
        <v>91.92</v>
      </c>
      <c r="F275">
        <v>17</v>
      </c>
      <c r="G275">
        <v>7</v>
      </c>
      <c r="H275">
        <v>3</v>
      </c>
      <c r="I275" t="s">
        <v>24</v>
      </c>
      <c r="J275">
        <v>11</v>
      </c>
      <c r="K275">
        <v>65.7</v>
      </c>
      <c r="L275">
        <v>14.5</v>
      </c>
      <c r="M275" t="s">
        <v>39</v>
      </c>
      <c r="N275" t="s">
        <v>30</v>
      </c>
    </row>
    <row r="276" spans="1:14" x14ac:dyDescent="0.2">
      <c r="A276" t="s">
        <v>315</v>
      </c>
      <c r="B276" t="s">
        <v>58</v>
      </c>
      <c r="C276">
        <v>61.37</v>
      </c>
      <c r="D276">
        <v>1</v>
      </c>
      <c r="E276">
        <v>60.11</v>
      </c>
      <c r="F276">
        <v>60</v>
      </c>
      <c r="G276">
        <v>26.2</v>
      </c>
      <c r="H276">
        <v>3</v>
      </c>
      <c r="I276" t="s">
        <v>33</v>
      </c>
      <c r="J276">
        <v>0</v>
      </c>
      <c r="K276">
        <v>32.200000000000003</v>
      </c>
      <c r="L276">
        <v>5.6</v>
      </c>
      <c r="M276" t="s">
        <v>25</v>
      </c>
      <c r="N276" t="s">
        <v>45</v>
      </c>
    </row>
    <row r="277" spans="1:14" x14ac:dyDescent="0.2">
      <c r="A277" t="s">
        <v>316</v>
      </c>
      <c r="B277" t="s">
        <v>58</v>
      </c>
      <c r="C277">
        <v>300.64999999999998</v>
      </c>
      <c r="D277">
        <v>6</v>
      </c>
      <c r="E277">
        <v>52.77</v>
      </c>
      <c r="F277">
        <v>38</v>
      </c>
      <c r="G277">
        <v>54.3</v>
      </c>
      <c r="H277">
        <v>5</v>
      </c>
      <c r="I277" t="s">
        <v>24</v>
      </c>
      <c r="J277">
        <v>8</v>
      </c>
      <c r="K277">
        <v>49</v>
      </c>
      <c r="L277">
        <v>17.7</v>
      </c>
      <c r="M277" t="s">
        <v>25</v>
      </c>
      <c r="N277" t="s">
        <v>40</v>
      </c>
    </row>
    <row r="278" spans="1:14" x14ac:dyDescent="0.2">
      <c r="A278" t="s">
        <v>317</v>
      </c>
      <c r="B278" t="s">
        <v>32</v>
      </c>
      <c r="C278">
        <v>249.12</v>
      </c>
      <c r="D278">
        <v>5</v>
      </c>
      <c r="E278">
        <v>52.47</v>
      </c>
      <c r="F278">
        <v>63</v>
      </c>
      <c r="G278">
        <v>27.4</v>
      </c>
      <c r="H278">
        <v>5</v>
      </c>
      <c r="I278" t="s">
        <v>24</v>
      </c>
      <c r="J278">
        <v>4</v>
      </c>
      <c r="K278">
        <v>35.799999999999997</v>
      </c>
      <c r="L278">
        <v>11.9</v>
      </c>
      <c r="M278" t="s">
        <v>47</v>
      </c>
      <c r="N278" t="s">
        <v>26</v>
      </c>
    </row>
    <row r="279" spans="1:14" x14ac:dyDescent="0.2">
      <c r="A279" t="s">
        <v>318</v>
      </c>
      <c r="B279" t="s">
        <v>35</v>
      </c>
      <c r="C279">
        <v>416.52</v>
      </c>
      <c r="D279">
        <v>7</v>
      </c>
      <c r="E279">
        <v>59.45</v>
      </c>
      <c r="F279">
        <v>17</v>
      </c>
      <c r="G279">
        <v>11.2</v>
      </c>
      <c r="H279">
        <v>1</v>
      </c>
      <c r="I279" t="s">
        <v>24</v>
      </c>
      <c r="J279">
        <v>20</v>
      </c>
      <c r="K279">
        <v>53.6</v>
      </c>
      <c r="L279">
        <v>16.899999999999999</v>
      </c>
      <c r="M279" t="s">
        <v>47</v>
      </c>
      <c r="N279" t="s">
        <v>40</v>
      </c>
    </row>
    <row r="280" spans="1:14" x14ac:dyDescent="0.2">
      <c r="A280" t="s">
        <v>319</v>
      </c>
      <c r="B280" t="s">
        <v>35</v>
      </c>
      <c r="C280">
        <v>559.97</v>
      </c>
      <c r="D280">
        <v>8</v>
      </c>
      <c r="E280">
        <v>75.08</v>
      </c>
      <c r="F280">
        <v>53</v>
      </c>
      <c r="G280">
        <v>27.6</v>
      </c>
      <c r="H280">
        <v>5</v>
      </c>
      <c r="I280" t="s">
        <v>33</v>
      </c>
      <c r="J280">
        <v>0</v>
      </c>
      <c r="K280">
        <v>34.6</v>
      </c>
      <c r="L280">
        <v>10.6</v>
      </c>
      <c r="M280" t="s">
        <v>25</v>
      </c>
      <c r="N280" t="s">
        <v>43</v>
      </c>
    </row>
    <row r="281" spans="1:14" x14ac:dyDescent="0.2">
      <c r="A281" t="s">
        <v>320</v>
      </c>
      <c r="B281" t="s">
        <v>32</v>
      </c>
      <c r="C281">
        <v>152.46</v>
      </c>
      <c r="D281">
        <v>3</v>
      </c>
      <c r="E281">
        <v>53.9</v>
      </c>
      <c r="F281">
        <v>142</v>
      </c>
      <c r="G281">
        <v>21.2</v>
      </c>
      <c r="H281">
        <v>1</v>
      </c>
      <c r="I281" t="s">
        <v>33</v>
      </c>
      <c r="J281">
        <v>0</v>
      </c>
      <c r="K281">
        <v>24.6</v>
      </c>
      <c r="L281">
        <v>5.4</v>
      </c>
      <c r="M281" t="s">
        <v>29</v>
      </c>
      <c r="N281" t="s">
        <v>43</v>
      </c>
    </row>
    <row r="282" spans="1:14" x14ac:dyDescent="0.2">
      <c r="A282" t="s">
        <v>321</v>
      </c>
      <c r="B282" t="s">
        <v>32</v>
      </c>
      <c r="C282">
        <v>242.87</v>
      </c>
      <c r="D282">
        <v>6</v>
      </c>
      <c r="E282">
        <v>39.049999999999997</v>
      </c>
      <c r="F282">
        <v>59</v>
      </c>
      <c r="G282">
        <v>37.5</v>
      </c>
      <c r="H282">
        <v>4</v>
      </c>
      <c r="I282" t="s">
        <v>24</v>
      </c>
      <c r="J282">
        <v>1</v>
      </c>
      <c r="K282">
        <v>49.1</v>
      </c>
      <c r="L282">
        <v>15.5</v>
      </c>
      <c r="M282" t="s">
        <v>29</v>
      </c>
      <c r="N282" t="s">
        <v>43</v>
      </c>
    </row>
    <row r="283" spans="1:14" x14ac:dyDescent="0.2">
      <c r="A283" t="s">
        <v>322</v>
      </c>
      <c r="B283" t="s">
        <v>23</v>
      </c>
      <c r="C283">
        <v>124.78</v>
      </c>
      <c r="D283">
        <v>4</v>
      </c>
      <c r="E283">
        <v>29.22</v>
      </c>
      <c r="F283">
        <v>35</v>
      </c>
      <c r="G283">
        <v>44.1</v>
      </c>
      <c r="H283">
        <v>3</v>
      </c>
      <c r="I283" t="s">
        <v>33</v>
      </c>
      <c r="J283">
        <v>0</v>
      </c>
      <c r="K283">
        <v>32.6</v>
      </c>
      <c r="L283">
        <v>4.4000000000000004</v>
      </c>
      <c r="M283" t="s">
        <v>47</v>
      </c>
      <c r="N283" t="s">
        <v>40</v>
      </c>
    </row>
    <row r="284" spans="1:14" x14ac:dyDescent="0.2">
      <c r="A284" t="s">
        <v>323</v>
      </c>
      <c r="B284" t="s">
        <v>23</v>
      </c>
      <c r="C284">
        <v>277.98</v>
      </c>
      <c r="D284">
        <v>5</v>
      </c>
      <c r="E284">
        <v>52.8</v>
      </c>
      <c r="F284">
        <v>193</v>
      </c>
      <c r="G284">
        <v>18.399999999999999</v>
      </c>
      <c r="H284">
        <v>1</v>
      </c>
      <c r="I284" t="s">
        <v>33</v>
      </c>
      <c r="J284">
        <v>0</v>
      </c>
      <c r="K284">
        <v>26</v>
      </c>
      <c r="L284">
        <v>4</v>
      </c>
      <c r="M284" t="s">
        <v>25</v>
      </c>
      <c r="N284" t="s">
        <v>43</v>
      </c>
    </row>
    <row r="285" spans="1:14" x14ac:dyDescent="0.2">
      <c r="A285" t="s">
        <v>324</v>
      </c>
      <c r="B285" t="s">
        <v>37</v>
      </c>
      <c r="C285">
        <v>138.66</v>
      </c>
      <c r="D285">
        <v>3</v>
      </c>
      <c r="E285">
        <v>45.65</v>
      </c>
      <c r="F285">
        <v>33</v>
      </c>
      <c r="G285">
        <v>29.2</v>
      </c>
      <c r="H285">
        <v>5</v>
      </c>
      <c r="I285" t="s">
        <v>24</v>
      </c>
      <c r="J285">
        <v>6</v>
      </c>
      <c r="K285">
        <v>42.5</v>
      </c>
      <c r="L285">
        <v>21</v>
      </c>
      <c r="M285" t="s">
        <v>25</v>
      </c>
      <c r="N285" t="s">
        <v>43</v>
      </c>
    </row>
    <row r="286" spans="1:14" x14ac:dyDescent="0.2">
      <c r="A286" t="s">
        <v>325</v>
      </c>
      <c r="B286" t="s">
        <v>58</v>
      </c>
      <c r="C286">
        <v>578.20000000000005</v>
      </c>
      <c r="D286">
        <v>8</v>
      </c>
      <c r="E286">
        <v>76.75</v>
      </c>
      <c r="F286">
        <v>29</v>
      </c>
      <c r="G286">
        <v>7.2</v>
      </c>
      <c r="H286">
        <v>5</v>
      </c>
      <c r="I286" t="s">
        <v>24</v>
      </c>
      <c r="J286">
        <v>3</v>
      </c>
      <c r="K286">
        <v>57.9</v>
      </c>
      <c r="L286">
        <v>16</v>
      </c>
      <c r="M286" t="s">
        <v>47</v>
      </c>
      <c r="N286" t="s">
        <v>30</v>
      </c>
    </row>
    <row r="287" spans="1:14" x14ac:dyDescent="0.2">
      <c r="A287" t="s">
        <v>326</v>
      </c>
      <c r="B287" t="s">
        <v>37</v>
      </c>
      <c r="C287">
        <v>220.62</v>
      </c>
      <c r="D287">
        <v>3</v>
      </c>
      <c r="E287">
        <v>72.66</v>
      </c>
      <c r="F287">
        <v>13</v>
      </c>
      <c r="G287">
        <v>20.2</v>
      </c>
      <c r="H287">
        <v>4</v>
      </c>
      <c r="I287" t="s">
        <v>24</v>
      </c>
      <c r="J287">
        <v>14</v>
      </c>
      <c r="K287">
        <v>59.4</v>
      </c>
      <c r="L287">
        <v>4.3</v>
      </c>
      <c r="M287" t="s">
        <v>25</v>
      </c>
      <c r="N287" t="s">
        <v>43</v>
      </c>
    </row>
    <row r="288" spans="1:14" x14ac:dyDescent="0.2">
      <c r="A288" t="s">
        <v>327</v>
      </c>
      <c r="B288" t="s">
        <v>58</v>
      </c>
      <c r="C288">
        <v>81.08</v>
      </c>
      <c r="D288">
        <v>2</v>
      </c>
      <c r="E288">
        <v>40.130000000000003</v>
      </c>
      <c r="F288">
        <v>211</v>
      </c>
      <c r="G288">
        <v>43</v>
      </c>
      <c r="H288">
        <v>2</v>
      </c>
      <c r="I288" t="s">
        <v>24</v>
      </c>
      <c r="J288">
        <v>1</v>
      </c>
      <c r="K288">
        <v>31.6</v>
      </c>
      <c r="L288">
        <v>3.1</v>
      </c>
      <c r="M288" t="s">
        <v>47</v>
      </c>
      <c r="N288" t="s">
        <v>26</v>
      </c>
    </row>
    <row r="289" spans="1:14" x14ac:dyDescent="0.2">
      <c r="A289" t="s">
        <v>328</v>
      </c>
      <c r="B289" t="s">
        <v>58</v>
      </c>
      <c r="C289">
        <v>543.9</v>
      </c>
      <c r="D289">
        <v>9</v>
      </c>
      <c r="E289">
        <v>61.23</v>
      </c>
      <c r="F289">
        <v>27</v>
      </c>
      <c r="G289">
        <v>20.3</v>
      </c>
      <c r="H289">
        <v>4</v>
      </c>
      <c r="I289" t="s">
        <v>24</v>
      </c>
      <c r="J289">
        <v>17</v>
      </c>
      <c r="K289">
        <v>51.2</v>
      </c>
      <c r="L289">
        <v>12.9</v>
      </c>
      <c r="M289" t="s">
        <v>29</v>
      </c>
      <c r="N289" t="s">
        <v>26</v>
      </c>
    </row>
    <row r="290" spans="1:14" x14ac:dyDescent="0.2">
      <c r="A290" t="s">
        <v>329</v>
      </c>
      <c r="B290" t="s">
        <v>23</v>
      </c>
      <c r="C290">
        <v>380.05</v>
      </c>
      <c r="D290">
        <v>6</v>
      </c>
      <c r="E290">
        <v>62.09</v>
      </c>
      <c r="F290">
        <v>39</v>
      </c>
      <c r="G290">
        <v>25.9</v>
      </c>
      <c r="H290">
        <v>3</v>
      </c>
      <c r="I290" t="s">
        <v>24</v>
      </c>
      <c r="J290">
        <v>6</v>
      </c>
      <c r="K290">
        <v>29.1</v>
      </c>
      <c r="L290">
        <v>9.8000000000000007</v>
      </c>
      <c r="M290" t="s">
        <v>25</v>
      </c>
      <c r="N290" t="s">
        <v>26</v>
      </c>
    </row>
    <row r="291" spans="1:14" x14ac:dyDescent="0.2">
      <c r="A291" t="s">
        <v>330</v>
      </c>
      <c r="B291" t="s">
        <v>35</v>
      </c>
      <c r="C291">
        <v>68.55</v>
      </c>
      <c r="D291">
        <v>1</v>
      </c>
      <c r="E291">
        <v>69.34</v>
      </c>
      <c r="F291">
        <v>142</v>
      </c>
      <c r="G291">
        <v>31.6</v>
      </c>
      <c r="H291">
        <v>2</v>
      </c>
      <c r="I291" t="s">
        <v>33</v>
      </c>
      <c r="J291">
        <v>0</v>
      </c>
      <c r="K291">
        <v>30.6</v>
      </c>
      <c r="L291">
        <v>8.8000000000000007</v>
      </c>
      <c r="M291" t="s">
        <v>29</v>
      </c>
      <c r="N291" t="s">
        <v>26</v>
      </c>
    </row>
    <row r="292" spans="1:14" x14ac:dyDescent="0.2">
      <c r="A292" t="s">
        <v>331</v>
      </c>
      <c r="B292" t="s">
        <v>37</v>
      </c>
      <c r="C292">
        <v>610.13</v>
      </c>
      <c r="D292">
        <v>8</v>
      </c>
      <c r="E292">
        <v>75.209999999999994</v>
      </c>
      <c r="F292">
        <v>8</v>
      </c>
      <c r="G292">
        <v>13.2</v>
      </c>
      <c r="H292">
        <v>4</v>
      </c>
      <c r="I292" t="s">
        <v>24</v>
      </c>
      <c r="J292">
        <v>9</v>
      </c>
      <c r="K292">
        <v>47</v>
      </c>
      <c r="L292">
        <v>18.600000000000001</v>
      </c>
      <c r="M292" t="s">
        <v>47</v>
      </c>
      <c r="N292" t="s">
        <v>26</v>
      </c>
    </row>
    <row r="293" spans="1:14" x14ac:dyDescent="0.2">
      <c r="A293" t="s">
        <v>332</v>
      </c>
      <c r="B293" t="s">
        <v>37</v>
      </c>
      <c r="C293">
        <v>81.94</v>
      </c>
      <c r="D293">
        <v>1</v>
      </c>
      <c r="E293">
        <v>78.040000000000006</v>
      </c>
      <c r="F293">
        <v>143</v>
      </c>
      <c r="G293">
        <v>9.8000000000000007</v>
      </c>
      <c r="H293">
        <v>1</v>
      </c>
      <c r="I293" t="s">
        <v>33</v>
      </c>
      <c r="J293">
        <v>0</v>
      </c>
      <c r="K293">
        <v>16.2</v>
      </c>
      <c r="L293">
        <v>0.3</v>
      </c>
      <c r="M293" t="s">
        <v>53</v>
      </c>
      <c r="N293" t="s">
        <v>30</v>
      </c>
    </row>
    <row r="294" spans="1:14" x14ac:dyDescent="0.2">
      <c r="A294" t="s">
        <v>333</v>
      </c>
      <c r="B294" t="s">
        <v>32</v>
      </c>
      <c r="C294">
        <v>347.64</v>
      </c>
      <c r="D294">
        <v>8</v>
      </c>
      <c r="E294">
        <v>46.83</v>
      </c>
      <c r="F294">
        <v>10</v>
      </c>
      <c r="G294">
        <v>75.599999999999994</v>
      </c>
      <c r="H294">
        <v>4</v>
      </c>
      <c r="I294" t="s">
        <v>33</v>
      </c>
      <c r="J294">
        <v>0</v>
      </c>
      <c r="K294">
        <v>49.5</v>
      </c>
      <c r="L294">
        <v>12.6</v>
      </c>
      <c r="M294" t="s">
        <v>53</v>
      </c>
      <c r="N294" t="s">
        <v>43</v>
      </c>
    </row>
    <row r="295" spans="1:14" x14ac:dyDescent="0.2">
      <c r="A295" t="s">
        <v>334</v>
      </c>
      <c r="B295" t="s">
        <v>23</v>
      </c>
      <c r="C295">
        <v>121.37</v>
      </c>
      <c r="D295">
        <v>2</v>
      </c>
      <c r="E295">
        <v>59.03</v>
      </c>
      <c r="F295">
        <v>102</v>
      </c>
      <c r="G295">
        <v>19.7</v>
      </c>
      <c r="H295">
        <v>1</v>
      </c>
      <c r="I295" t="s">
        <v>33</v>
      </c>
      <c r="J295">
        <v>0</v>
      </c>
      <c r="K295">
        <v>22</v>
      </c>
      <c r="L295">
        <v>8.5</v>
      </c>
      <c r="M295" t="s">
        <v>29</v>
      </c>
      <c r="N295" t="s">
        <v>43</v>
      </c>
    </row>
    <row r="296" spans="1:14" x14ac:dyDescent="0.2">
      <c r="A296" t="s">
        <v>335</v>
      </c>
      <c r="B296" t="s">
        <v>37</v>
      </c>
      <c r="C296">
        <v>558.66999999999996</v>
      </c>
      <c r="D296">
        <v>9</v>
      </c>
      <c r="E296">
        <v>64.09</v>
      </c>
      <c r="F296">
        <v>36</v>
      </c>
      <c r="G296">
        <v>7.3</v>
      </c>
      <c r="H296">
        <v>2</v>
      </c>
      <c r="I296" t="s">
        <v>33</v>
      </c>
      <c r="J296">
        <v>0</v>
      </c>
      <c r="K296">
        <v>51</v>
      </c>
      <c r="L296">
        <v>18.8</v>
      </c>
      <c r="M296" t="s">
        <v>47</v>
      </c>
      <c r="N296" t="s">
        <v>45</v>
      </c>
    </row>
    <row r="297" spans="1:14" x14ac:dyDescent="0.2">
      <c r="A297" t="s">
        <v>336</v>
      </c>
      <c r="B297" t="s">
        <v>58</v>
      </c>
      <c r="C297">
        <v>306.11</v>
      </c>
      <c r="D297">
        <v>5</v>
      </c>
      <c r="E297">
        <v>64.239999999999995</v>
      </c>
      <c r="F297">
        <v>17</v>
      </c>
      <c r="G297">
        <v>33.299999999999997</v>
      </c>
      <c r="H297">
        <v>4</v>
      </c>
      <c r="I297" t="s">
        <v>33</v>
      </c>
      <c r="J297">
        <v>0</v>
      </c>
      <c r="K297">
        <v>53.3</v>
      </c>
      <c r="L297">
        <v>21.1</v>
      </c>
      <c r="M297" t="s">
        <v>25</v>
      </c>
      <c r="N297" t="s">
        <v>43</v>
      </c>
    </row>
    <row r="298" spans="1:14" x14ac:dyDescent="0.2">
      <c r="A298" t="s">
        <v>337</v>
      </c>
      <c r="B298" t="s">
        <v>32</v>
      </c>
      <c r="C298">
        <v>122.14</v>
      </c>
      <c r="D298">
        <v>2</v>
      </c>
      <c r="E298">
        <v>58.42</v>
      </c>
      <c r="F298">
        <v>17</v>
      </c>
      <c r="G298">
        <v>45</v>
      </c>
      <c r="H298">
        <v>4</v>
      </c>
      <c r="I298" t="s">
        <v>24</v>
      </c>
      <c r="J298">
        <v>10</v>
      </c>
      <c r="K298">
        <v>39.700000000000003</v>
      </c>
      <c r="L298">
        <v>9.8000000000000007</v>
      </c>
      <c r="M298" t="s">
        <v>29</v>
      </c>
      <c r="N298" t="s">
        <v>30</v>
      </c>
    </row>
    <row r="299" spans="1:14" x14ac:dyDescent="0.2">
      <c r="A299" t="s">
        <v>338</v>
      </c>
      <c r="B299" t="s">
        <v>37</v>
      </c>
      <c r="C299">
        <v>240.67</v>
      </c>
      <c r="D299">
        <v>4</v>
      </c>
      <c r="E299">
        <v>64.7</v>
      </c>
      <c r="F299">
        <v>39</v>
      </c>
      <c r="G299">
        <v>30.2</v>
      </c>
      <c r="H299">
        <v>4</v>
      </c>
      <c r="I299" t="s">
        <v>33</v>
      </c>
      <c r="J299">
        <v>0</v>
      </c>
      <c r="K299">
        <v>51.7</v>
      </c>
      <c r="L299">
        <v>5.5</v>
      </c>
      <c r="M299" t="s">
        <v>53</v>
      </c>
      <c r="N299" t="s">
        <v>43</v>
      </c>
    </row>
    <row r="300" spans="1:14" x14ac:dyDescent="0.2">
      <c r="A300" t="s">
        <v>339</v>
      </c>
      <c r="B300" t="s">
        <v>35</v>
      </c>
      <c r="C300">
        <v>45.6</v>
      </c>
      <c r="D300">
        <v>1</v>
      </c>
      <c r="E300">
        <v>43.12</v>
      </c>
      <c r="F300">
        <v>103</v>
      </c>
      <c r="G300">
        <v>21.6</v>
      </c>
      <c r="H300">
        <v>1</v>
      </c>
      <c r="I300" t="s">
        <v>33</v>
      </c>
      <c r="J300">
        <v>0</v>
      </c>
      <c r="K300">
        <v>19</v>
      </c>
      <c r="L300">
        <v>7.2</v>
      </c>
      <c r="M300" t="s">
        <v>25</v>
      </c>
      <c r="N300" t="s">
        <v>43</v>
      </c>
    </row>
    <row r="301" spans="1:14" x14ac:dyDescent="0.2">
      <c r="A301" t="s">
        <v>340</v>
      </c>
      <c r="B301" t="s">
        <v>37</v>
      </c>
      <c r="C301">
        <v>621.11</v>
      </c>
      <c r="D301">
        <v>8</v>
      </c>
      <c r="E301">
        <v>77.510000000000005</v>
      </c>
      <c r="F301">
        <v>14</v>
      </c>
      <c r="G301">
        <v>14.7</v>
      </c>
      <c r="H301">
        <v>4</v>
      </c>
      <c r="I301" t="s">
        <v>24</v>
      </c>
      <c r="J301">
        <v>13</v>
      </c>
      <c r="K301">
        <v>82.6</v>
      </c>
      <c r="L301">
        <v>16</v>
      </c>
      <c r="M301" t="s">
        <v>25</v>
      </c>
      <c r="N30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1"/>
  <sheetViews>
    <sheetView workbookViewId="0">
      <selection activeCell="P17" sqref="P17"/>
    </sheetView>
  </sheetViews>
  <sheetFormatPr baseColWidth="10" defaultColWidth="8.83203125" defaultRowHeight="15" x14ac:dyDescent="0.2"/>
  <cols>
    <col min="2" max="2" width="9.83203125" bestFit="1" customWidth="1"/>
    <col min="3" max="3" width="14.5" customWidth="1"/>
    <col min="7" max="7" width="10.33203125" customWidth="1"/>
    <col min="8" max="9" width="13.33203125" customWidth="1"/>
    <col min="10" max="10" width="12" customWidth="1"/>
    <col min="12" max="12" width="10.33203125" customWidth="1"/>
    <col min="13" max="13" width="17" customWidth="1"/>
  </cols>
  <sheetData>
    <row r="1" spans="1:13" s="22" customFormat="1" ht="55" customHeight="1" x14ac:dyDescent="0.25">
      <c r="A1" s="21" t="s">
        <v>341</v>
      </c>
      <c r="B1" s="21" t="s">
        <v>342</v>
      </c>
      <c r="C1" s="21" t="s">
        <v>343</v>
      </c>
      <c r="D1" s="21" t="s">
        <v>344</v>
      </c>
      <c r="E1" s="21" t="s">
        <v>345</v>
      </c>
      <c r="F1" s="21" t="s">
        <v>346</v>
      </c>
      <c r="G1" s="21" t="s">
        <v>347</v>
      </c>
      <c r="H1" s="21" t="s">
        <v>348</v>
      </c>
      <c r="I1" s="21" t="s">
        <v>349</v>
      </c>
      <c r="J1" s="21" t="s">
        <v>350</v>
      </c>
      <c r="K1" s="21" t="s">
        <v>351</v>
      </c>
      <c r="L1" s="21" t="s">
        <v>352</v>
      </c>
      <c r="M1" s="21" t="s">
        <v>353</v>
      </c>
    </row>
    <row r="2" spans="1:13" x14ac:dyDescent="0.2">
      <c r="A2" t="s">
        <v>354</v>
      </c>
      <c r="B2" t="s">
        <v>23</v>
      </c>
      <c r="C2">
        <v>166750</v>
      </c>
      <c r="D2">
        <v>5491</v>
      </c>
      <c r="E2">
        <v>3.29</v>
      </c>
      <c r="F2">
        <v>9162.3799999999992</v>
      </c>
      <c r="G2">
        <v>1.67</v>
      </c>
      <c r="H2">
        <v>219</v>
      </c>
      <c r="I2">
        <v>3.99</v>
      </c>
      <c r="J2">
        <v>13178.74</v>
      </c>
      <c r="K2">
        <v>1.44</v>
      </c>
      <c r="L2">
        <v>41.84</v>
      </c>
      <c r="M2">
        <v>219</v>
      </c>
    </row>
    <row r="3" spans="1:13" x14ac:dyDescent="0.2">
      <c r="A3" t="s">
        <v>354</v>
      </c>
      <c r="B3" t="s">
        <v>37</v>
      </c>
      <c r="C3">
        <v>288476</v>
      </c>
      <c r="D3">
        <v>4768</v>
      </c>
      <c r="E3">
        <v>1.65</v>
      </c>
      <c r="F3">
        <v>4387.63</v>
      </c>
      <c r="G3">
        <v>0.92</v>
      </c>
      <c r="H3">
        <v>92</v>
      </c>
      <c r="I3">
        <v>1.93</v>
      </c>
      <c r="J3">
        <v>4831.6400000000003</v>
      </c>
      <c r="K3">
        <v>1.1000000000000001</v>
      </c>
      <c r="L3">
        <v>47.69</v>
      </c>
      <c r="M3">
        <v>92</v>
      </c>
    </row>
    <row r="4" spans="1:13" x14ac:dyDescent="0.2">
      <c r="A4" t="s">
        <v>354</v>
      </c>
      <c r="B4" t="s">
        <v>58</v>
      </c>
      <c r="C4">
        <v>99725</v>
      </c>
      <c r="D4">
        <v>4444</v>
      </c>
      <c r="E4">
        <v>4.46</v>
      </c>
      <c r="F4">
        <v>580.66999999999996</v>
      </c>
      <c r="G4">
        <v>0.13</v>
      </c>
      <c r="H4">
        <v>252</v>
      </c>
      <c r="I4">
        <v>5.67</v>
      </c>
      <c r="J4">
        <v>18091.439999999999</v>
      </c>
      <c r="K4">
        <v>31.16</v>
      </c>
      <c r="L4">
        <v>2.2999999999999998</v>
      </c>
      <c r="M4">
        <v>252</v>
      </c>
    </row>
    <row r="5" spans="1:13" x14ac:dyDescent="0.2">
      <c r="A5" t="s">
        <v>354</v>
      </c>
      <c r="B5" t="s">
        <v>35</v>
      </c>
      <c r="C5">
        <v>127588</v>
      </c>
      <c r="D5">
        <v>1606</v>
      </c>
      <c r="E5">
        <v>1.26</v>
      </c>
      <c r="F5">
        <v>1841.46</v>
      </c>
      <c r="G5">
        <v>1.1499999999999999</v>
      </c>
      <c r="H5">
        <v>35</v>
      </c>
      <c r="I5">
        <v>2.1800000000000002</v>
      </c>
      <c r="J5">
        <v>1979.92</v>
      </c>
      <c r="K5">
        <v>1.08</v>
      </c>
      <c r="L5">
        <v>52.61</v>
      </c>
      <c r="M5">
        <v>35</v>
      </c>
    </row>
    <row r="6" spans="1:13" x14ac:dyDescent="0.2">
      <c r="A6" t="s">
        <v>354</v>
      </c>
      <c r="B6" t="s">
        <v>32</v>
      </c>
      <c r="C6">
        <v>136769</v>
      </c>
      <c r="D6">
        <v>4051</v>
      </c>
      <c r="E6">
        <v>2.96</v>
      </c>
      <c r="F6">
        <v>325.57</v>
      </c>
      <c r="G6">
        <v>0.08</v>
      </c>
      <c r="H6">
        <v>184</v>
      </c>
      <c r="I6">
        <v>4.54</v>
      </c>
      <c r="J6">
        <v>11864.43</v>
      </c>
      <c r="K6">
        <v>36.44</v>
      </c>
      <c r="L6">
        <v>1.77</v>
      </c>
      <c r="M6">
        <v>184</v>
      </c>
    </row>
    <row r="7" spans="1:13" x14ac:dyDescent="0.2">
      <c r="A7" t="s">
        <v>355</v>
      </c>
      <c r="B7" t="s">
        <v>23</v>
      </c>
      <c r="C7">
        <v>177097</v>
      </c>
      <c r="D7">
        <v>6527</v>
      </c>
      <c r="E7">
        <v>3.69</v>
      </c>
      <c r="F7">
        <v>10326.879999999999</v>
      </c>
      <c r="G7">
        <v>1.58</v>
      </c>
      <c r="H7">
        <v>218</v>
      </c>
      <c r="I7">
        <v>3.34</v>
      </c>
      <c r="J7">
        <v>14300.71</v>
      </c>
      <c r="K7">
        <v>1.38</v>
      </c>
      <c r="L7">
        <v>47.37</v>
      </c>
      <c r="M7">
        <v>218</v>
      </c>
    </row>
    <row r="8" spans="1:13" x14ac:dyDescent="0.2">
      <c r="A8" t="s">
        <v>355</v>
      </c>
      <c r="B8" t="s">
        <v>37</v>
      </c>
      <c r="C8">
        <v>276397</v>
      </c>
      <c r="D8">
        <v>4853</v>
      </c>
      <c r="E8">
        <v>1.76</v>
      </c>
      <c r="F8">
        <v>4276.6099999999997</v>
      </c>
      <c r="G8">
        <v>0.88</v>
      </c>
      <c r="H8">
        <v>96</v>
      </c>
      <c r="I8">
        <v>1.98</v>
      </c>
      <c r="J8">
        <v>5054.1400000000003</v>
      </c>
      <c r="K8">
        <v>1.18</v>
      </c>
      <c r="L8">
        <v>44.55</v>
      </c>
      <c r="M8">
        <v>96</v>
      </c>
    </row>
    <row r="9" spans="1:13" x14ac:dyDescent="0.2">
      <c r="A9" t="s">
        <v>355</v>
      </c>
      <c r="B9" t="s">
        <v>58</v>
      </c>
      <c r="C9">
        <v>99798</v>
      </c>
      <c r="D9">
        <v>4238</v>
      </c>
      <c r="E9">
        <v>4.25</v>
      </c>
      <c r="F9">
        <v>551.55999999999995</v>
      </c>
      <c r="G9">
        <v>0.13</v>
      </c>
      <c r="H9">
        <v>278</v>
      </c>
      <c r="I9">
        <v>6.56</v>
      </c>
      <c r="J9">
        <v>19935.28</v>
      </c>
      <c r="K9">
        <v>36.14</v>
      </c>
      <c r="L9">
        <v>1.98</v>
      </c>
      <c r="M9">
        <v>278</v>
      </c>
    </row>
    <row r="10" spans="1:13" x14ac:dyDescent="0.2">
      <c r="A10" t="s">
        <v>355</v>
      </c>
      <c r="B10" t="s">
        <v>35</v>
      </c>
      <c r="C10">
        <v>123461</v>
      </c>
      <c r="D10">
        <v>1619</v>
      </c>
      <c r="E10">
        <v>1.31</v>
      </c>
      <c r="F10">
        <v>2058.56</v>
      </c>
      <c r="G10">
        <v>1.27</v>
      </c>
      <c r="H10">
        <v>29</v>
      </c>
      <c r="I10">
        <v>1.79</v>
      </c>
      <c r="J10">
        <v>1700.78</v>
      </c>
      <c r="K10">
        <v>0.83</v>
      </c>
      <c r="L10">
        <v>70.98</v>
      </c>
      <c r="M10">
        <v>29</v>
      </c>
    </row>
    <row r="11" spans="1:13" x14ac:dyDescent="0.2">
      <c r="A11" t="s">
        <v>355</v>
      </c>
      <c r="B11" t="s">
        <v>32</v>
      </c>
      <c r="C11">
        <v>172463</v>
      </c>
      <c r="D11">
        <v>4396</v>
      </c>
      <c r="E11">
        <v>2.5499999999999998</v>
      </c>
      <c r="F11">
        <v>390.9</v>
      </c>
      <c r="G11">
        <v>0.09</v>
      </c>
      <c r="H11">
        <v>191</v>
      </c>
      <c r="I11">
        <v>4.34</v>
      </c>
      <c r="J11">
        <v>12770.49</v>
      </c>
      <c r="K11">
        <v>32.67</v>
      </c>
      <c r="L11">
        <v>2.0499999999999998</v>
      </c>
      <c r="M11">
        <v>191</v>
      </c>
    </row>
    <row r="12" spans="1:13" x14ac:dyDescent="0.2">
      <c r="A12" t="s">
        <v>356</v>
      </c>
      <c r="B12" t="s">
        <v>23</v>
      </c>
      <c r="C12">
        <v>187671</v>
      </c>
      <c r="D12">
        <v>6091</v>
      </c>
      <c r="E12">
        <v>3.25</v>
      </c>
      <c r="F12">
        <v>10453.629999999999</v>
      </c>
      <c r="G12">
        <v>1.72</v>
      </c>
      <c r="H12">
        <v>210</v>
      </c>
      <c r="I12">
        <v>3.45</v>
      </c>
      <c r="J12">
        <v>13883.56</v>
      </c>
      <c r="K12">
        <v>1.33</v>
      </c>
      <c r="L12">
        <v>49.78</v>
      </c>
      <c r="M12">
        <v>210</v>
      </c>
    </row>
    <row r="13" spans="1:13" x14ac:dyDescent="0.2">
      <c r="A13" t="s">
        <v>356</v>
      </c>
      <c r="B13" t="s">
        <v>37</v>
      </c>
      <c r="C13">
        <v>278698</v>
      </c>
      <c r="D13">
        <v>4409</v>
      </c>
      <c r="E13">
        <v>1.58</v>
      </c>
      <c r="F13">
        <v>3501.07</v>
      </c>
      <c r="G13">
        <v>0.79</v>
      </c>
      <c r="H13">
        <v>81</v>
      </c>
      <c r="I13">
        <v>1.84</v>
      </c>
      <c r="J13">
        <v>4351.4799999999996</v>
      </c>
      <c r="K13">
        <v>1.24</v>
      </c>
      <c r="L13">
        <v>43.22</v>
      </c>
      <c r="M13">
        <v>81</v>
      </c>
    </row>
    <row r="14" spans="1:13" x14ac:dyDescent="0.2">
      <c r="A14" t="s">
        <v>356</v>
      </c>
      <c r="B14" t="s">
        <v>58</v>
      </c>
      <c r="C14">
        <v>95956</v>
      </c>
      <c r="D14">
        <v>4319</v>
      </c>
      <c r="E14">
        <v>4.5</v>
      </c>
      <c r="F14">
        <v>505.69</v>
      </c>
      <c r="G14">
        <v>0.12</v>
      </c>
      <c r="H14">
        <v>273</v>
      </c>
      <c r="I14">
        <v>6.32</v>
      </c>
      <c r="J14">
        <v>18862.88</v>
      </c>
      <c r="K14">
        <v>37.299999999999997</v>
      </c>
      <c r="L14">
        <v>1.85</v>
      </c>
      <c r="M14">
        <v>273</v>
      </c>
    </row>
    <row r="15" spans="1:13" x14ac:dyDescent="0.2">
      <c r="A15" t="s">
        <v>356</v>
      </c>
      <c r="B15" t="s">
        <v>35</v>
      </c>
      <c r="C15">
        <v>142594</v>
      </c>
      <c r="D15">
        <v>1730</v>
      </c>
      <c r="E15">
        <v>1.21</v>
      </c>
      <c r="F15">
        <v>2100.3000000000002</v>
      </c>
      <c r="G15">
        <v>1.21</v>
      </c>
      <c r="H15">
        <v>31</v>
      </c>
      <c r="I15">
        <v>1.79</v>
      </c>
      <c r="J15">
        <v>1973.14</v>
      </c>
      <c r="K15">
        <v>0.94</v>
      </c>
      <c r="L15">
        <v>67.75</v>
      </c>
      <c r="M15">
        <v>31</v>
      </c>
    </row>
    <row r="16" spans="1:13" x14ac:dyDescent="0.2">
      <c r="A16" t="s">
        <v>356</v>
      </c>
      <c r="B16" t="s">
        <v>32</v>
      </c>
      <c r="C16">
        <v>155654</v>
      </c>
      <c r="D16">
        <v>3992</v>
      </c>
      <c r="E16">
        <v>2.56</v>
      </c>
      <c r="F16">
        <v>334.02</v>
      </c>
      <c r="G16">
        <v>0.08</v>
      </c>
      <c r="H16">
        <v>170</v>
      </c>
      <c r="I16">
        <v>4.26</v>
      </c>
      <c r="J16">
        <v>11013.52</v>
      </c>
      <c r="K16">
        <v>32.97</v>
      </c>
      <c r="L16">
        <v>1.96</v>
      </c>
      <c r="M16">
        <v>170</v>
      </c>
    </row>
    <row r="17" spans="1:13" x14ac:dyDescent="0.2">
      <c r="A17" t="s">
        <v>357</v>
      </c>
      <c r="B17" t="s">
        <v>23</v>
      </c>
      <c r="C17">
        <v>196590</v>
      </c>
      <c r="D17">
        <v>7170</v>
      </c>
      <c r="E17">
        <v>3.65</v>
      </c>
      <c r="F17">
        <v>10480.66</v>
      </c>
      <c r="G17">
        <v>1.46</v>
      </c>
      <c r="H17">
        <v>284</v>
      </c>
      <c r="I17">
        <v>3.96</v>
      </c>
      <c r="J17">
        <v>18441.07</v>
      </c>
      <c r="K17">
        <v>1.76</v>
      </c>
      <c r="L17">
        <v>36.9</v>
      </c>
      <c r="M17">
        <v>284</v>
      </c>
    </row>
    <row r="18" spans="1:13" x14ac:dyDescent="0.2">
      <c r="A18" t="s">
        <v>357</v>
      </c>
      <c r="B18" t="s">
        <v>37</v>
      </c>
      <c r="C18">
        <v>283761</v>
      </c>
      <c r="D18">
        <v>4827</v>
      </c>
      <c r="E18">
        <v>1.7</v>
      </c>
      <c r="F18">
        <v>4062.82</v>
      </c>
      <c r="G18">
        <v>0.84</v>
      </c>
      <c r="H18">
        <v>94</v>
      </c>
      <c r="I18">
        <v>1.95</v>
      </c>
      <c r="J18">
        <v>4730.05</v>
      </c>
      <c r="K18">
        <v>1.1599999999999999</v>
      </c>
      <c r="L18">
        <v>43.22</v>
      </c>
      <c r="M18">
        <v>94</v>
      </c>
    </row>
    <row r="19" spans="1:13" x14ac:dyDescent="0.2">
      <c r="A19" t="s">
        <v>357</v>
      </c>
      <c r="B19" t="s">
        <v>58</v>
      </c>
      <c r="C19">
        <v>96088</v>
      </c>
      <c r="D19">
        <v>4557</v>
      </c>
      <c r="E19">
        <v>4.74</v>
      </c>
      <c r="F19">
        <v>611.95000000000005</v>
      </c>
      <c r="G19">
        <v>0.13</v>
      </c>
      <c r="H19">
        <v>281</v>
      </c>
      <c r="I19">
        <v>6.17</v>
      </c>
      <c r="J19">
        <v>20791.490000000002</v>
      </c>
      <c r="K19">
        <v>33.979999999999997</v>
      </c>
      <c r="L19">
        <v>2.1800000000000002</v>
      </c>
      <c r="M19">
        <v>281</v>
      </c>
    </row>
    <row r="20" spans="1:13" x14ac:dyDescent="0.2">
      <c r="A20" t="s">
        <v>357</v>
      </c>
      <c r="B20" t="s">
        <v>35</v>
      </c>
      <c r="C20">
        <v>128819</v>
      </c>
      <c r="D20">
        <v>1409</v>
      </c>
      <c r="E20">
        <v>1.0900000000000001</v>
      </c>
      <c r="F20">
        <v>1597.69</v>
      </c>
      <c r="G20">
        <v>1.1299999999999999</v>
      </c>
      <c r="H20">
        <v>27</v>
      </c>
      <c r="I20">
        <v>1.92</v>
      </c>
      <c r="J20">
        <v>1539.29</v>
      </c>
      <c r="K20">
        <v>0.96</v>
      </c>
      <c r="L20">
        <v>59.17</v>
      </c>
      <c r="M20">
        <v>27</v>
      </c>
    </row>
    <row r="21" spans="1:13" x14ac:dyDescent="0.2">
      <c r="A21" t="s">
        <v>357</v>
      </c>
      <c r="B21" t="s">
        <v>32</v>
      </c>
      <c r="C21">
        <v>148508</v>
      </c>
      <c r="D21">
        <v>4579</v>
      </c>
      <c r="E21">
        <v>3.08</v>
      </c>
      <c r="F21">
        <v>397.7</v>
      </c>
      <c r="G21">
        <v>0.09</v>
      </c>
      <c r="H21">
        <v>202</v>
      </c>
      <c r="I21">
        <v>4.41</v>
      </c>
      <c r="J21">
        <v>12607.03</v>
      </c>
      <c r="K21">
        <v>31.7</v>
      </c>
      <c r="L21">
        <v>1.97</v>
      </c>
      <c r="M21">
        <v>202</v>
      </c>
    </row>
    <row r="22" spans="1:13" x14ac:dyDescent="0.2">
      <c r="A22" t="s">
        <v>358</v>
      </c>
      <c r="B22" t="s">
        <v>23</v>
      </c>
      <c r="C22">
        <v>181208</v>
      </c>
      <c r="D22">
        <v>5636</v>
      </c>
      <c r="E22">
        <v>3.11</v>
      </c>
      <c r="F22">
        <v>9253.7099999999991</v>
      </c>
      <c r="G22">
        <v>1.64</v>
      </c>
      <c r="H22">
        <v>229</v>
      </c>
      <c r="I22">
        <v>4.0599999999999996</v>
      </c>
      <c r="J22">
        <v>14405.01</v>
      </c>
      <c r="K22">
        <v>1.56</v>
      </c>
      <c r="L22">
        <v>40.409999999999997</v>
      </c>
      <c r="M22">
        <v>229</v>
      </c>
    </row>
    <row r="23" spans="1:13" x14ac:dyDescent="0.2">
      <c r="A23" t="s">
        <v>358</v>
      </c>
      <c r="B23" t="s">
        <v>37</v>
      </c>
      <c r="C23">
        <v>261670</v>
      </c>
      <c r="D23">
        <v>4505</v>
      </c>
      <c r="E23">
        <v>1.72</v>
      </c>
      <c r="F23">
        <v>3872.2</v>
      </c>
      <c r="G23">
        <v>0.86</v>
      </c>
      <c r="H23">
        <v>79</v>
      </c>
      <c r="I23">
        <v>1.75</v>
      </c>
      <c r="J23">
        <v>4038.23</v>
      </c>
      <c r="K23">
        <v>1.04</v>
      </c>
      <c r="L23">
        <v>49.02</v>
      </c>
      <c r="M23">
        <v>79</v>
      </c>
    </row>
    <row r="24" spans="1:13" x14ac:dyDescent="0.2">
      <c r="A24" t="s">
        <v>358</v>
      </c>
      <c r="B24" t="s">
        <v>58</v>
      </c>
      <c r="C24">
        <v>103477</v>
      </c>
      <c r="D24">
        <v>4399</v>
      </c>
      <c r="E24">
        <v>4.25</v>
      </c>
      <c r="F24">
        <v>479.23</v>
      </c>
      <c r="G24">
        <v>0.11</v>
      </c>
      <c r="H24">
        <v>313</v>
      </c>
      <c r="I24">
        <v>7.12</v>
      </c>
      <c r="J24">
        <v>20962.810000000001</v>
      </c>
      <c r="K24">
        <v>43.74</v>
      </c>
      <c r="L24">
        <v>1.53</v>
      </c>
      <c r="M24">
        <v>313</v>
      </c>
    </row>
    <row r="25" spans="1:13" x14ac:dyDescent="0.2">
      <c r="A25" t="s">
        <v>358</v>
      </c>
      <c r="B25" t="s">
        <v>35</v>
      </c>
      <c r="C25">
        <v>118897</v>
      </c>
      <c r="D25">
        <v>1343</v>
      </c>
      <c r="E25">
        <v>1.1299999999999999</v>
      </c>
      <c r="F25">
        <v>1464.25</v>
      </c>
      <c r="G25">
        <v>1.0900000000000001</v>
      </c>
      <c r="H25">
        <v>26</v>
      </c>
      <c r="I25">
        <v>1.94</v>
      </c>
      <c r="J25">
        <v>1614.1</v>
      </c>
      <c r="K25">
        <v>1.1000000000000001</v>
      </c>
      <c r="L25">
        <v>56.32</v>
      </c>
      <c r="M25">
        <v>26</v>
      </c>
    </row>
    <row r="26" spans="1:13" x14ac:dyDescent="0.2">
      <c r="A26" t="s">
        <v>358</v>
      </c>
      <c r="B26" t="s">
        <v>32</v>
      </c>
      <c r="C26">
        <v>158927</v>
      </c>
      <c r="D26">
        <v>4439</v>
      </c>
      <c r="E26">
        <v>2.79</v>
      </c>
      <c r="F26">
        <v>372.39</v>
      </c>
      <c r="G26">
        <v>0.08</v>
      </c>
      <c r="H26">
        <v>185</v>
      </c>
      <c r="I26">
        <v>4.17</v>
      </c>
      <c r="J26">
        <v>12777.93</v>
      </c>
      <c r="K26">
        <v>34.31</v>
      </c>
      <c r="L26">
        <v>2.0099999999999998</v>
      </c>
      <c r="M26">
        <v>185</v>
      </c>
    </row>
    <row r="27" spans="1:13" x14ac:dyDescent="0.2">
      <c r="A27" t="s">
        <v>359</v>
      </c>
      <c r="B27" t="s">
        <v>23</v>
      </c>
      <c r="C27">
        <v>206109</v>
      </c>
      <c r="D27">
        <v>6322</v>
      </c>
      <c r="E27">
        <v>3.07</v>
      </c>
      <c r="F27">
        <v>10496.5</v>
      </c>
      <c r="G27">
        <v>1.66</v>
      </c>
      <c r="H27">
        <v>228</v>
      </c>
      <c r="I27">
        <v>3.61</v>
      </c>
      <c r="J27">
        <v>15525.94</v>
      </c>
      <c r="K27">
        <v>1.48</v>
      </c>
      <c r="L27">
        <v>46.04</v>
      </c>
      <c r="M27">
        <v>228</v>
      </c>
    </row>
    <row r="28" spans="1:13" x14ac:dyDescent="0.2">
      <c r="A28" t="s">
        <v>359</v>
      </c>
      <c r="B28" t="s">
        <v>37</v>
      </c>
      <c r="C28">
        <v>274722</v>
      </c>
      <c r="D28">
        <v>5217</v>
      </c>
      <c r="E28">
        <v>1.9</v>
      </c>
      <c r="F28">
        <v>4893.99</v>
      </c>
      <c r="G28">
        <v>0.94</v>
      </c>
      <c r="H28">
        <v>88</v>
      </c>
      <c r="I28">
        <v>1.69</v>
      </c>
      <c r="J28">
        <v>4444.63</v>
      </c>
      <c r="K28">
        <v>0.91</v>
      </c>
      <c r="L28">
        <v>55.61</v>
      </c>
      <c r="M28">
        <v>88</v>
      </c>
    </row>
    <row r="29" spans="1:13" x14ac:dyDescent="0.2">
      <c r="A29" t="s">
        <v>359</v>
      </c>
      <c r="B29" t="s">
        <v>58</v>
      </c>
      <c r="C29">
        <v>105676</v>
      </c>
      <c r="D29">
        <v>5292</v>
      </c>
      <c r="E29">
        <v>5.01</v>
      </c>
      <c r="F29">
        <v>585.14</v>
      </c>
      <c r="G29">
        <v>0.11</v>
      </c>
      <c r="H29">
        <v>351</v>
      </c>
      <c r="I29">
        <v>6.63</v>
      </c>
      <c r="J29">
        <v>23911.84</v>
      </c>
      <c r="K29">
        <v>40.869999999999997</v>
      </c>
      <c r="L29">
        <v>1.67</v>
      </c>
      <c r="M29">
        <v>351</v>
      </c>
    </row>
    <row r="30" spans="1:13" x14ac:dyDescent="0.2">
      <c r="A30" t="s">
        <v>359</v>
      </c>
      <c r="B30" t="s">
        <v>35</v>
      </c>
      <c r="C30">
        <v>113593</v>
      </c>
      <c r="D30">
        <v>1347</v>
      </c>
      <c r="E30">
        <v>1.19</v>
      </c>
      <c r="F30">
        <v>1538.24</v>
      </c>
      <c r="G30">
        <v>1.1399999999999999</v>
      </c>
      <c r="H30">
        <v>29</v>
      </c>
      <c r="I30">
        <v>2.15</v>
      </c>
      <c r="J30">
        <v>1683.01</v>
      </c>
      <c r="K30">
        <v>1.0900000000000001</v>
      </c>
      <c r="L30">
        <v>53.04</v>
      </c>
      <c r="M30">
        <v>29</v>
      </c>
    </row>
    <row r="31" spans="1:13" x14ac:dyDescent="0.2">
      <c r="A31" t="s">
        <v>359</v>
      </c>
      <c r="B31" t="s">
        <v>32</v>
      </c>
      <c r="C31">
        <v>170423</v>
      </c>
      <c r="D31">
        <v>4295</v>
      </c>
      <c r="E31">
        <v>2.52</v>
      </c>
      <c r="F31">
        <v>332.51</v>
      </c>
      <c r="G31">
        <v>0.08</v>
      </c>
      <c r="H31">
        <v>166</v>
      </c>
      <c r="I31">
        <v>3.86</v>
      </c>
      <c r="J31">
        <v>10465.01</v>
      </c>
      <c r="K31">
        <v>31.47</v>
      </c>
      <c r="L31">
        <v>2</v>
      </c>
      <c r="M31">
        <v>166</v>
      </c>
    </row>
    <row r="32" spans="1:13" x14ac:dyDescent="0.2">
      <c r="A32" t="s">
        <v>360</v>
      </c>
      <c r="B32" t="s">
        <v>23</v>
      </c>
      <c r="C32">
        <v>164700</v>
      </c>
      <c r="D32">
        <v>5270</v>
      </c>
      <c r="E32">
        <v>3.2</v>
      </c>
      <c r="F32">
        <v>8350.01</v>
      </c>
      <c r="G32">
        <v>1.58</v>
      </c>
      <c r="H32">
        <v>181</v>
      </c>
      <c r="I32">
        <v>3.43</v>
      </c>
      <c r="J32">
        <v>11363.5</v>
      </c>
      <c r="K32">
        <v>1.36</v>
      </c>
      <c r="L32">
        <v>46.13</v>
      </c>
      <c r="M32">
        <v>181</v>
      </c>
    </row>
    <row r="33" spans="1:13" x14ac:dyDescent="0.2">
      <c r="A33" t="s">
        <v>360</v>
      </c>
      <c r="B33" t="s">
        <v>37</v>
      </c>
      <c r="C33">
        <v>255556</v>
      </c>
      <c r="D33">
        <v>4747</v>
      </c>
      <c r="E33">
        <v>1.86</v>
      </c>
      <c r="F33">
        <v>4591.6099999999997</v>
      </c>
      <c r="G33">
        <v>0.97</v>
      </c>
      <c r="H33">
        <v>86</v>
      </c>
      <c r="I33">
        <v>1.81</v>
      </c>
      <c r="J33">
        <v>4211.99</v>
      </c>
      <c r="K33">
        <v>0.92</v>
      </c>
      <c r="L33">
        <v>53.39</v>
      </c>
      <c r="M33">
        <v>86</v>
      </c>
    </row>
    <row r="34" spans="1:13" x14ac:dyDescent="0.2">
      <c r="A34" t="s">
        <v>360</v>
      </c>
      <c r="B34" t="s">
        <v>58</v>
      </c>
      <c r="C34">
        <v>83114</v>
      </c>
      <c r="D34">
        <v>4242</v>
      </c>
      <c r="E34">
        <v>5.0999999999999996</v>
      </c>
      <c r="F34">
        <v>464.88</v>
      </c>
      <c r="G34">
        <v>0.11</v>
      </c>
      <c r="H34">
        <v>252</v>
      </c>
      <c r="I34">
        <v>5.94</v>
      </c>
      <c r="J34">
        <v>17045.349999999999</v>
      </c>
      <c r="K34">
        <v>36.67</v>
      </c>
      <c r="L34">
        <v>1.84</v>
      </c>
      <c r="M34">
        <v>252</v>
      </c>
    </row>
    <row r="35" spans="1:13" x14ac:dyDescent="0.2">
      <c r="A35" t="s">
        <v>360</v>
      </c>
      <c r="B35" t="s">
        <v>35</v>
      </c>
      <c r="C35">
        <v>116458</v>
      </c>
      <c r="D35">
        <v>1308</v>
      </c>
      <c r="E35">
        <v>1.1200000000000001</v>
      </c>
      <c r="F35">
        <v>1683.08</v>
      </c>
      <c r="G35">
        <v>1.29</v>
      </c>
      <c r="H35">
        <v>23</v>
      </c>
      <c r="I35">
        <v>1.76</v>
      </c>
      <c r="J35">
        <v>1394.34</v>
      </c>
      <c r="K35">
        <v>0.83</v>
      </c>
      <c r="L35">
        <v>73.180000000000007</v>
      </c>
      <c r="M35">
        <v>23</v>
      </c>
    </row>
    <row r="36" spans="1:13" x14ac:dyDescent="0.2">
      <c r="A36" t="s">
        <v>360</v>
      </c>
      <c r="B36" t="s">
        <v>32</v>
      </c>
      <c r="C36">
        <v>139086</v>
      </c>
      <c r="D36">
        <v>3565</v>
      </c>
      <c r="E36">
        <v>2.56</v>
      </c>
      <c r="F36">
        <v>313.74</v>
      </c>
      <c r="G36">
        <v>0.09</v>
      </c>
      <c r="H36">
        <v>136</v>
      </c>
      <c r="I36">
        <v>3.81</v>
      </c>
      <c r="J36">
        <v>9341.02</v>
      </c>
      <c r="K36">
        <v>29.77</v>
      </c>
      <c r="L36">
        <v>2.31</v>
      </c>
      <c r="M36">
        <v>136</v>
      </c>
    </row>
    <row r="37" spans="1:13" x14ac:dyDescent="0.2">
      <c r="A37" t="s">
        <v>361</v>
      </c>
      <c r="B37" t="s">
        <v>23</v>
      </c>
      <c r="C37">
        <v>174389</v>
      </c>
      <c r="D37">
        <v>5437</v>
      </c>
      <c r="E37">
        <v>3.12</v>
      </c>
      <c r="F37">
        <v>9356.0300000000007</v>
      </c>
      <c r="G37">
        <v>1.72</v>
      </c>
      <c r="H37">
        <v>185</v>
      </c>
      <c r="I37">
        <v>3.4</v>
      </c>
      <c r="J37">
        <v>12375.52</v>
      </c>
      <c r="K37">
        <v>1.32</v>
      </c>
      <c r="L37">
        <v>50.57</v>
      </c>
      <c r="M37">
        <v>185</v>
      </c>
    </row>
    <row r="38" spans="1:13" x14ac:dyDescent="0.2">
      <c r="A38" t="s">
        <v>361</v>
      </c>
      <c r="B38" t="s">
        <v>37</v>
      </c>
      <c r="C38">
        <v>231473</v>
      </c>
      <c r="D38">
        <v>4280</v>
      </c>
      <c r="E38">
        <v>1.85</v>
      </c>
      <c r="F38">
        <v>3400.72</v>
      </c>
      <c r="G38">
        <v>0.79</v>
      </c>
      <c r="H38">
        <v>78</v>
      </c>
      <c r="I38">
        <v>1.82</v>
      </c>
      <c r="J38">
        <v>4072.02</v>
      </c>
      <c r="K38">
        <v>1.2</v>
      </c>
      <c r="L38">
        <v>43.6</v>
      </c>
      <c r="M38">
        <v>78</v>
      </c>
    </row>
    <row r="39" spans="1:13" x14ac:dyDescent="0.2">
      <c r="A39" t="s">
        <v>361</v>
      </c>
      <c r="B39" t="s">
        <v>58</v>
      </c>
      <c r="C39">
        <v>94533</v>
      </c>
      <c r="D39">
        <v>4783</v>
      </c>
      <c r="E39">
        <v>5.0599999999999996</v>
      </c>
      <c r="F39">
        <v>620.05999999999995</v>
      </c>
      <c r="G39">
        <v>0.13</v>
      </c>
      <c r="H39">
        <v>332</v>
      </c>
      <c r="I39">
        <v>6.94</v>
      </c>
      <c r="J39">
        <v>22121.84</v>
      </c>
      <c r="K39">
        <v>35.68</v>
      </c>
      <c r="L39">
        <v>1.87</v>
      </c>
      <c r="M39">
        <v>332</v>
      </c>
    </row>
    <row r="40" spans="1:13" x14ac:dyDescent="0.2">
      <c r="A40" t="s">
        <v>361</v>
      </c>
      <c r="B40" t="s">
        <v>35</v>
      </c>
      <c r="C40">
        <v>109727</v>
      </c>
      <c r="D40">
        <v>1268</v>
      </c>
      <c r="E40">
        <v>1.1599999999999999</v>
      </c>
      <c r="F40">
        <v>1495.66</v>
      </c>
      <c r="G40">
        <v>1.18</v>
      </c>
      <c r="H40">
        <v>25</v>
      </c>
      <c r="I40">
        <v>1.97</v>
      </c>
      <c r="J40">
        <v>1495.94</v>
      </c>
      <c r="K40">
        <v>1</v>
      </c>
      <c r="L40">
        <v>59.83</v>
      </c>
      <c r="M40">
        <v>25</v>
      </c>
    </row>
    <row r="41" spans="1:13" x14ac:dyDescent="0.2">
      <c r="A41" t="s">
        <v>361</v>
      </c>
      <c r="B41" t="s">
        <v>32</v>
      </c>
      <c r="C41">
        <v>133262</v>
      </c>
      <c r="D41">
        <v>3925</v>
      </c>
      <c r="E41">
        <v>2.95</v>
      </c>
      <c r="F41">
        <v>294.18</v>
      </c>
      <c r="G41">
        <v>7.0000000000000007E-2</v>
      </c>
      <c r="H41">
        <v>155</v>
      </c>
      <c r="I41">
        <v>3.95</v>
      </c>
      <c r="J41">
        <v>10172.98</v>
      </c>
      <c r="K41">
        <v>34.58</v>
      </c>
      <c r="L41">
        <v>1.9</v>
      </c>
      <c r="M41">
        <v>155</v>
      </c>
    </row>
    <row r="42" spans="1:13" x14ac:dyDescent="0.2">
      <c r="A42" t="s">
        <v>362</v>
      </c>
      <c r="B42" t="s">
        <v>23</v>
      </c>
      <c r="C42">
        <v>176778</v>
      </c>
      <c r="D42">
        <v>6387</v>
      </c>
      <c r="E42">
        <v>3.61</v>
      </c>
      <c r="F42">
        <v>10315.82</v>
      </c>
      <c r="G42">
        <v>1.62</v>
      </c>
      <c r="H42">
        <v>212</v>
      </c>
      <c r="I42">
        <v>3.32</v>
      </c>
      <c r="J42">
        <v>13565.35</v>
      </c>
      <c r="K42">
        <v>1.32</v>
      </c>
      <c r="L42">
        <v>48.66</v>
      </c>
      <c r="M42">
        <v>212</v>
      </c>
    </row>
    <row r="43" spans="1:13" x14ac:dyDescent="0.2">
      <c r="A43" t="s">
        <v>362</v>
      </c>
      <c r="B43" t="s">
        <v>37</v>
      </c>
      <c r="C43">
        <v>218303</v>
      </c>
      <c r="D43">
        <v>3648</v>
      </c>
      <c r="E43">
        <v>1.67</v>
      </c>
      <c r="F43">
        <v>3181.26</v>
      </c>
      <c r="G43">
        <v>0.87</v>
      </c>
      <c r="H43">
        <v>58</v>
      </c>
      <c r="I43">
        <v>1.59</v>
      </c>
      <c r="J43">
        <v>2816.7</v>
      </c>
      <c r="K43">
        <v>0.89</v>
      </c>
      <c r="L43">
        <v>54.85</v>
      </c>
      <c r="M43">
        <v>58</v>
      </c>
    </row>
    <row r="44" spans="1:13" x14ac:dyDescent="0.2">
      <c r="A44" t="s">
        <v>362</v>
      </c>
      <c r="B44" t="s">
        <v>58</v>
      </c>
      <c r="C44">
        <v>91268</v>
      </c>
      <c r="D44">
        <v>4659</v>
      </c>
      <c r="E44">
        <v>5.0999999999999996</v>
      </c>
      <c r="F44">
        <v>546.51</v>
      </c>
      <c r="G44">
        <v>0.12</v>
      </c>
      <c r="H44">
        <v>257</v>
      </c>
      <c r="I44">
        <v>5.52</v>
      </c>
      <c r="J44">
        <v>17071.68</v>
      </c>
      <c r="K44">
        <v>31.24</v>
      </c>
      <c r="L44">
        <v>2.13</v>
      </c>
      <c r="M44">
        <v>257</v>
      </c>
    </row>
    <row r="45" spans="1:13" x14ac:dyDescent="0.2">
      <c r="A45" t="s">
        <v>362</v>
      </c>
      <c r="B45" t="s">
        <v>35</v>
      </c>
      <c r="C45">
        <v>108104</v>
      </c>
      <c r="D45">
        <v>1438</v>
      </c>
      <c r="E45">
        <v>1.33</v>
      </c>
      <c r="F45">
        <v>1606.64</v>
      </c>
      <c r="G45">
        <v>1.1200000000000001</v>
      </c>
      <c r="H45">
        <v>31</v>
      </c>
      <c r="I45">
        <v>2.16</v>
      </c>
      <c r="J45">
        <v>1737.41</v>
      </c>
      <c r="K45">
        <v>1.08</v>
      </c>
      <c r="L45">
        <v>51.83</v>
      </c>
      <c r="M45">
        <v>31</v>
      </c>
    </row>
    <row r="46" spans="1:13" x14ac:dyDescent="0.2">
      <c r="A46" t="s">
        <v>362</v>
      </c>
      <c r="B46" t="s">
        <v>32</v>
      </c>
      <c r="C46">
        <v>152885</v>
      </c>
      <c r="D46">
        <v>4212</v>
      </c>
      <c r="E46">
        <v>2.76</v>
      </c>
      <c r="F46">
        <v>360.73</v>
      </c>
      <c r="G46">
        <v>0.09</v>
      </c>
      <c r="H46">
        <v>167</v>
      </c>
      <c r="I46">
        <v>3.96</v>
      </c>
      <c r="J46">
        <v>11159.88</v>
      </c>
      <c r="K46">
        <v>30.94</v>
      </c>
      <c r="L46">
        <v>2.16</v>
      </c>
      <c r="M46">
        <v>167</v>
      </c>
    </row>
    <row r="47" spans="1:13" x14ac:dyDescent="0.2">
      <c r="A47" t="s">
        <v>363</v>
      </c>
      <c r="B47" t="s">
        <v>23</v>
      </c>
      <c r="C47">
        <v>152643</v>
      </c>
      <c r="D47">
        <v>4837</v>
      </c>
      <c r="E47">
        <v>3.17</v>
      </c>
      <c r="F47">
        <v>8294.8700000000008</v>
      </c>
      <c r="G47">
        <v>1.71</v>
      </c>
      <c r="H47">
        <v>196</v>
      </c>
      <c r="I47">
        <v>4.05</v>
      </c>
      <c r="J47">
        <v>13162.08</v>
      </c>
      <c r="K47">
        <v>1.59</v>
      </c>
      <c r="L47">
        <v>42.32</v>
      </c>
      <c r="M47">
        <v>196</v>
      </c>
    </row>
    <row r="48" spans="1:13" x14ac:dyDescent="0.2">
      <c r="A48" t="s">
        <v>363</v>
      </c>
      <c r="B48" t="s">
        <v>37</v>
      </c>
      <c r="C48">
        <v>242797</v>
      </c>
      <c r="D48">
        <v>4448</v>
      </c>
      <c r="E48">
        <v>1.83</v>
      </c>
      <c r="F48">
        <v>3582.27</v>
      </c>
      <c r="G48">
        <v>0.81</v>
      </c>
      <c r="H48">
        <v>77</v>
      </c>
      <c r="I48">
        <v>1.73</v>
      </c>
      <c r="J48">
        <v>3761.89</v>
      </c>
      <c r="K48">
        <v>1.05</v>
      </c>
      <c r="L48">
        <v>46.52</v>
      </c>
      <c r="M48">
        <v>77</v>
      </c>
    </row>
    <row r="49" spans="1:13" x14ac:dyDescent="0.2">
      <c r="A49" t="s">
        <v>363</v>
      </c>
      <c r="B49" t="s">
        <v>58</v>
      </c>
      <c r="C49">
        <v>84227</v>
      </c>
      <c r="D49">
        <v>3790</v>
      </c>
      <c r="E49">
        <v>4.5</v>
      </c>
      <c r="F49">
        <v>424.18</v>
      </c>
      <c r="G49">
        <v>0.11</v>
      </c>
      <c r="H49">
        <v>244</v>
      </c>
      <c r="I49">
        <v>6.44</v>
      </c>
      <c r="J49">
        <v>17789.240000000002</v>
      </c>
      <c r="K49">
        <v>41.94</v>
      </c>
      <c r="L49">
        <v>1.74</v>
      </c>
      <c r="M49">
        <v>244</v>
      </c>
    </row>
    <row r="50" spans="1:13" x14ac:dyDescent="0.2">
      <c r="A50" t="s">
        <v>363</v>
      </c>
      <c r="B50" t="s">
        <v>35</v>
      </c>
      <c r="C50">
        <v>106279</v>
      </c>
      <c r="D50">
        <v>1184</v>
      </c>
      <c r="E50">
        <v>1.1100000000000001</v>
      </c>
      <c r="F50">
        <v>1340.2</v>
      </c>
      <c r="G50">
        <v>1.1299999999999999</v>
      </c>
      <c r="H50">
        <v>22</v>
      </c>
      <c r="I50">
        <v>1.86</v>
      </c>
      <c r="J50">
        <v>1269.5999999999999</v>
      </c>
      <c r="K50">
        <v>0.95</v>
      </c>
      <c r="L50">
        <v>60.92</v>
      </c>
      <c r="M50">
        <v>22</v>
      </c>
    </row>
    <row r="51" spans="1:13" x14ac:dyDescent="0.2">
      <c r="A51" t="s">
        <v>363</v>
      </c>
      <c r="B51" t="s">
        <v>32</v>
      </c>
      <c r="C51">
        <v>140591</v>
      </c>
      <c r="D51">
        <v>4063</v>
      </c>
      <c r="E51">
        <v>2.89</v>
      </c>
      <c r="F51">
        <v>342.31</v>
      </c>
      <c r="G51">
        <v>0.08</v>
      </c>
      <c r="H51">
        <v>162</v>
      </c>
      <c r="I51">
        <v>3.99</v>
      </c>
      <c r="J51">
        <v>11131.08</v>
      </c>
      <c r="K51">
        <v>32.520000000000003</v>
      </c>
      <c r="L51">
        <v>2.11</v>
      </c>
      <c r="M51">
        <v>162</v>
      </c>
    </row>
    <row r="52" spans="1:13" x14ac:dyDescent="0.2">
      <c r="A52" t="s">
        <v>364</v>
      </c>
      <c r="B52" t="s">
        <v>23</v>
      </c>
      <c r="C52">
        <v>155352</v>
      </c>
      <c r="D52">
        <v>5298</v>
      </c>
      <c r="E52">
        <v>3.41</v>
      </c>
      <c r="F52">
        <v>8837.7000000000007</v>
      </c>
      <c r="G52">
        <v>1.67</v>
      </c>
      <c r="H52">
        <v>177</v>
      </c>
      <c r="I52">
        <v>3.34</v>
      </c>
      <c r="J52">
        <v>10606.15</v>
      </c>
      <c r="K52">
        <v>1.2</v>
      </c>
      <c r="L52">
        <v>49.93</v>
      </c>
      <c r="M52">
        <v>177</v>
      </c>
    </row>
    <row r="53" spans="1:13" x14ac:dyDescent="0.2">
      <c r="A53" t="s">
        <v>364</v>
      </c>
      <c r="B53" t="s">
        <v>37</v>
      </c>
      <c r="C53">
        <v>259904</v>
      </c>
      <c r="D53">
        <v>4309</v>
      </c>
      <c r="E53">
        <v>1.66</v>
      </c>
      <c r="F53">
        <v>3983.23</v>
      </c>
      <c r="G53">
        <v>0.92</v>
      </c>
      <c r="H53">
        <v>68</v>
      </c>
      <c r="I53">
        <v>1.58</v>
      </c>
      <c r="J53">
        <v>3510.29</v>
      </c>
      <c r="K53">
        <v>0.88</v>
      </c>
      <c r="L53">
        <v>58.58</v>
      </c>
      <c r="M53">
        <v>68</v>
      </c>
    </row>
    <row r="54" spans="1:13" x14ac:dyDescent="0.2">
      <c r="A54" t="s">
        <v>364</v>
      </c>
      <c r="B54" t="s">
        <v>58</v>
      </c>
      <c r="C54">
        <v>79701</v>
      </c>
      <c r="D54">
        <v>3344</v>
      </c>
      <c r="E54">
        <v>4.2</v>
      </c>
      <c r="F54">
        <v>414.99</v>
      </c>
      <c r="G54">
        <v>0.12</v>
      </c>
      <c r="H54">
        <v>195</v>
      </c>
      <c r="I54">
        <v>5.83</v>
      </c>
      <c r="J54">
        <v>13366.36</v>
      </c>
      <c r="K54">
        <v>32.21</v>
      </c>
      <c r="L54">
        <v>2.13</v>
      </c>
      <c r="M54">
        <v>195</v>
      </c>
    </row>
    <row r="55" spans="1:13" x14ac:dyDescent="0.2">
      <c r="A55" t="s">
        <v>364</v>
      </c>
      <c r="B55" t="s">
        <v>35</v>
      </c>
      <c r="C55">
        <v>100590</v>
      </c>
      <c r="D55">
        <v>1125</v>
      </c>
      <c r="E55">
        <v>1.1200000000000001</v>
      </c>
      <c r="F55">
        <v>1303.5</v>
      </c>
      <c r="G55">
        <v>1.1599999999999999</v>
      </c>
      <c r="H55">
        <v>20</v>
      </c>
      <c r="I55">
        <v>1.78</v>
      </c>
      <c r="J55">
        <v>1260.48</v>
      </c>
      <c r="K55">
        <v>0.97</v>
      </c>
      <c r="L55">
        <v>65.17</v>
      </c>
      <c r="M55">
        <v>20</v>
      </c>
    </row>
    <row r="56" spans="1:13" x14ac:dyDescent="0.2">
      <c r="A56" t="s">
        <v>364</v>
      </c>
      <c r="B56" t="s">
        <v>32</v>
      </c>
      <c r="C56">
        <v>123490</v>
      </c>
      <c r="D56">
        <v>3480</v>
      </c>
      <c r="E56">
        <v>2.82</v>
      </c>
      <c r="F56">
        <v>258.11</v>
      </c>
      <c r="G56">
        <v>7.0000000000000007E-2</v>
      </c>
      <c r="H56">
        <v>137</v>
      </c>
      <c r="I56">
        <v>3.94</v>
      </c>
      <c r="J56">
        <v>9547.5499999999993</v>
      </c>
      <c r="K56">
        <v>36.99</v>
      </c>
      <c r="L56">
        <v>1.88</v>
      </c>
      <c r="M56">
        <v>137</v>
      </c>
    </row>
    <row r="57" spans="1:13" x14ac:dyDescent="0.2">
      <c r="A57" t="s">
        <v>365</v>
      </c>
      <c r="B57" t="s">
        <v>23</v>
      </c>
      <c r="C57">
        <v>159982</v>
      </c>
      <c r="D57">
        <v>6051</v>
      </c>
      <c r="E57">
        <v>3.78</v>
      </c>
      <c r="F57">
        <v>8865.7800000000007</v>
      </c>
      <c r="G57">
        <v>1.47</v>
      </c>
      <c r="H57">
        <v>235</v>
      </c>
      <c r="I57">
        <v>3.88</v>
      </c>
      <c r="J57">
        <v>15036.26</v>
      </c>
      <c r="K57">
        <v>1.7</v>
      </c>
      <c r="L57">
        <v>37.729999999999997</v>
      </c>
      <c r="M57">
        <v>235</v>
      </c>
    </row>
    <row r="58" spans="1:13" x14ac:dyDescent="0.2">
      <c r="A58" t="s">
        <v>365</v>
      </c>
      <c r="B58" t="s">
        <v>37</v>
      </c>
      <c r="C58">
        <v>270362</v>
      </c>
      <c r="D58">
        <v>4696</v>
      </c>
      <c r="E58">
        <v>1.74</v>
      </c>
      <c r="F58">
        <v>4205.22</v>
      </c>
      <c r="G58">
        <v>0.9</v>
      </c>
      <c r="H58">
        <v>78</v>
      </c>
      <c r="I58">
        <v>1.66</v>
      </c>
      <c r="J58">
        <v>3726.2</v>
      </c>
      <c r="K58">
        <v>0.89</v>
      </c>
      <c r="L58">
        <v>53.91</v>
      </c>
      <c r="M58">
        <v>78</v>
      </c>
    </row>
    <row r="59" spans="1:13" x14ac:dyDescent="0.2">
      <c r="A59" t="s">
        <v>365</v>
      </c>
      <c r="B59" t="s">
        <v>58</v>
      </c>
      <c r="C59">
        <v>94189</v>
      </c>
      <c r="D59">
        <v>4211</v>
      </c>
      <c r="E59">
        <v>4.47</v>
      </c>
      <c r="F59">
        <v>496.15</v>
      </c>
      <c r="G59">
        <v>0.12</v>
      </c>
      <c r="H59">
        <v>283</v>
      </c>
      <c r="I59">
        <v>6.72</v>
      </c>
      <c r="J59">
        <v>19259.849999999999</v>
      </c>
      <c r="K59">
        <v>38.82</v>
      </c>
      <c r="L59">
        <v>1.75</v>
      </c>
      <c r="M59">
        <v>283</v>
      </c>
    </row>
    <row r="60" spans="1:13" x14ac:dyDescent="0.2">
      <c r="A60" t="s">
        <v>365</v>
      </c>
      <c r="B60" t="s">
        <v>35</v>
      </c>
      <c r="C60">
        <v>126477</v>
      </c>
      <c r="D60">
        <v>1612</v>
      </c>
      <c r="E60">
        <v>1.27</v>
      </c>
      <c r="F60">
        <v>1995.21</v>
      </c>
      <c r="G60">
        <v>1.24</v>
      </c>
      <c r="H60">
        <v>36</v>
      </c>
      <c r="I60">
        <v>2.23</v>
      </c>
      <c r="J60">
        <v>1999.14</v>
      </c>
      <c r="K60">
        <v>1</v>
      </c>
      <c r="L60">
        <v>55.42</v>
      </c>
      <c r="M60">
        <v>36</v>
      </c>
    </row>
    <row r="61" spans="1:13" x14ac:dyDescent="0.2">
      <c r="A61" t="s">
        <v>365</v>
      </c>
      <c r="B61" t="s">
        <v>32</v>
      </c>
      <c r="C61">
        <v>136308</v>
      </c>
      <c r="D61">
        <v>3825</v>
      </c>
      <c r="E61">
        <v>2.81</v>
      </c>
      <c r="F61">
        <v>290.68</v>
      </c>
      <c r="G61">
        <v>0.08</v>
      </c>
      <c r="H61">
        <v>169</v>
      </c>
      <c r="I61">
        <v>4.42</v>
      </c>
      <c r="J61">
        <v>11766.52</v>
      </c>
      <c r="K61">
        <v>40.479999999999997</v>
      </c>
      <c r="L61">
        <v>1.72</v>
      </c>
      <c r="M61">
        <v>169</v>
      </c>
    </row>
    <row r="62" spans="1:13" x14ac:dyDescent="0.2">
      <c r="A62" t="s">
        <v>366</v>
      </c>
      <c r="B62" t="s">
        <v>23</v>
      </c>
      <c r="C62">
        <v>178781</v>
      </c>
      <c r="D62">
        <v>5928</v>
      </c>
      <c r="E62">
        <v>3.32</v>
      </c>
      <c r="F62">
        <v>10213.280000000001</v>
      </c>
      <c r="G62">
        <v>1.72</v>
      </c>
      <c r="H62">
        <v>213</v>
      </c>
      <c r="I62">
        <v>3.59</v>
      </c>
      <c r="J62">
        <v>13514.46</v>
      </c>
      <c r="K62">
        <v>1.32</v>
      </c>
      <c r="L62">
        <v>47.95</v>
      </c>
      <c r="M62">
        <v>213</v>
      </c>
    </row>
    <row r="63" spans="1:13" x14ac:dyDescent="0.2">
      <c r="A63" t="s">
        <v>366</v>
      </c>
      <c r="B63" t="s">
        <v>37</v>
      </c>
      <c r="C63">
        <v>254114</v>
      </c>
      <c r="D63">
        <v>4752</v>
      </c>
      <c r="E63">
        <v>1.87</v>
      </c>
      <c r="F63">
        <v>4287.0200000000004</v>
      </c>
      <c r="G63">
        <v>0.9</v>
      </c>
      <c r="H63">
        <v>92</v>
      </c>
      <c r="I63">
        <v>1.94</v>
      </c>
      <c r="J63">
        <v>4831.54</v>
      </c>
      <c r="K63">
        <v>1.1299999999999999</v>
      </c>
      <c r="L63">
        <v>46.6</v>
      </c>
      <c r="M63">
        <v>92</v>
      </c>
    </row>
    <row r="64" spans="1:13" x14ac:dyDescent="0.2">
      <c r="A64" t="s">
        <v>366</v>
      </c>
      <c r="B64" t="s">
        <v>58</v>
      </c>
      <c r="C64">
        <v>87768</v>
      </c>
      <c r="D64">
        <v>4018</v>
      </c>
      <c r="E64">
        <v>4.58</v>
      </c>
      <c r="F64">
        <v>523.95000000000005</v>
      </c>
      <c r="G64">
        <v>0.13</v>
      </c>
      <c r="H64">
        <v>243</v>
      </c>
      <c r="I64">
        <v>6.05</v>
      </c>
      <c r="J64">
        <v>17665.650000000001</v>
      </c>
      <c r="K64">
        <v>33.72</v>
      </c>
      <c r="L64">
        <v>2.16</v>
      </c>
      <c r="M64">
        <v>243</v>
      </c>
    </row>
    <row r="65" spans="1:13" x14ac:dyDescent="0.2">
      <c r="A65" t="s">
        <v>366</v>
      </c>
      <c r="B65" t="s">
        <v>35</v>
      </c>
      <c r="C65">
        <v>132842</v>
      </c>
      <c r="D65">
        <v>1653</v>
      </c>
      <c r="E65">
        <v>1.24</v>
      </c>
      <c r="F65">
        <v>2108.88</v>
      </c>
      <c r="G65">
        <v>1.28</v>
      </c>
      <c r="H65">
        <v>36</v>
      </c>
      <c r="I65">
        <v>2.1800000000000002</v>
      </c>
      <c r="J65">
        <v>2248.27</v>
      </c>
      <c r="K65">
        <v>1.07</v>
      </c>
      <c r="L65">
        <v>58.58</v>
      </c>
      <c r="M65">
        <v>36</v>
      </c>
    </row>
    <row r="66" spans="1:13" x14ac:dyDescent="0.2">
      <c r="A66" t="s">
        <v>366</v>
      </c>
      <c r="B66" t="s">
        <v>32</v>
      </c>
      <c r="C66">
        <v>148036</v>
      </c>
      <c r="D66">
        <v>3777</v>
      </c>
      <c r="E66">
        <v>2.5499999999999998</v>
      </c>
      <c r="F66">
        <v>298.66000000000003</v>
      </c>
      <c r="G66">
        <v>0.08</v>
      </c>
      <c r="H66">
        <v>164</v>
      </c>
      <c r="I66">
        <v>4.34</v>
      </c>
      <c r="J66">
        <v>10680.23</v>
      </c>
      <c r="K66">
        <v>35.76</v>
      </c>
      <c r="L66">
        <v>1.82</v>
      </c>
      <c r="M66">
        <v>164</v>
      </c>
    </row>
    <row r="67" spans="1:13" x14ac:dyDescent="0.2">
      <c r="A67" t="s">
        <v>367</v>
      </c>
      <c r="B67" t="s">
        <v>23</v>
      </c>
      <c r="C67">
        <v>201241</v>
      </c>
      <c r="D67">
        <v>6695</v>
      </c>
      <c r="E67">
        <v>3.33</v>
      </c>
      <c r="F67">
        <v>10788.64</v>
      </c>
      <c r="G67">
        <v>1.61</v>
      </c>
      <c r="H67">
        <v>224</v>
      </c>
      <c r="I67">
        <v>3.35</v>
      </c>
      <c r="J67">
        <v>14754.69</v>
      </c>
      <c r="K67">
        <v>1.37</v>
      </c>
      <c r="L67">
        <v>48.16</v>
      </c>
      <c r="M67">
        <v>224</v>
      </c>
    </row>
    <row r="68" spans="1:13" x14ac:dyDescent="0.2">
      <c r="A68" t="s">
        <v>367</v>
      </c>
      <c r="B68" t="s">
        <v>37</v>
      </c>
      <c r="C68">
        <v>278474</v>
      </c>
      <c r="D68">
        <v>4473</v>
      </c>
      <c r="E68">
        <v>1.61</v>
      </c>
      <c r="F68">
        <v>3795.4</v>
      </c>
      <c r="G68">
        <v>0.85</v>
      </c>
      <c r="H68">
        <v>87</v>
      </c>
      <c r="I68">
        <v>1.95</v>
      </c>
      <c r="J68">
        <v>4358.45</v>
      </c>
      <c r="K68">
        <v>1.1499999999999999</v>
      </c>
      <c r="L68">
        <v>43.63</v>
      </c>
      <c r="M68">
        <v>87</v>
      </c>
    </row>
    <row r="69" spans="1:13" x14ac:dyDescent="0.2">
      <c r="A69" t="s">
        <v>367</v>
      </c>
      <c r="B69" t="s">
        <v>58</v>
      </c>
      <c r="C69">
        <v>89541</v>
      </c>
      <c r="D69">
        <v>4583</v>
      </c>
      <c r="E69">
        <v>5.12</v>
      </c>
      <c r="F69">
        <v>581.49</v>
      </c>
      <c r="G69">
        <v>0.13</v>
      </c>
      <c r="H69">
        <v>323</v>
      </c>
      <c r="I69">
        <v>7.05</v>
      </c>
      <c r="J69">
        <v>22272.94</v>
      </c>
      <c r="K69">
        <v>38.299999999999997</v>
      </c>
      <c r="L69">
        <v>1.8</v>
      </c>
      <c r="M69">
        <v>323</v>
      </c>
    </row>
    <row r="70" spans="1:13" x14ac:dyDescent="0.2">
      <c r="A70" t="s">
        <v>367</v>
      </c>
      <c r="B70" t="s">
        <v>35</v>
      </c>
      <c r="C70">
        <v>126569</v>
      </c>
      <c r="D70">
        <v>1666</v>
      </c>
      <c r="E70">
        <v>1.32</v>
      </c>
      <c r="F70">
        <v>2030.21</v>
      </c>
      <c r="G70">
        <v>1.22</v>
      </c>
      <c r="H70">
        <v>35</v>
      </c>
      <c r="I70">
        <v>2.1</v>
      </c>
      <c r="J70">
        <v>2005.29</v>
      </c>
      <c r="K70">
        <v>0.99</v>
      </c>
      <c r="L70">
        <v>58.01</v>
      </c>
      <c r="M70">
        <v>35</v>
      </c>
    </row>
    <row r="71" spans="1:13" x14ac:dyDescent="0.2">
      <c r="A71" t="s">
        <v>367</v>
      </c>
      <c r="B71" t="s">
        <v>32</v>
      </c>
      <c r="C71">
        <v>157229</v>
      </c>
      <c r="D71">
        <v>4081</v>
      </c>
      <c r="E71">
        <v>2.6</v>
      </c>
      <c r="F71">
        <v>308.63</v>
      </c>
      <c r="G71">
        <v>0.08</v>
      </c>
      <c r="H71">
        <v>147</v>
      </c>
      <c r="I71">
        <v>3.6</v>
      </c>
      <c r="J71">
        <v>8993.01</v>
      </c>
      <c r="K71">
        <v>29.14</v>
      </c>
      <c r="L71">
        <v>2.1</v>
      </c>
      <c r="M71">
        <v>147</v>
      </c>
    </row>
    <row r="72" spans="1:13" x14ac:dyDescent="0.2">
      <c r="A72" t="s">
        <v>368</v>
      </c>
      <c r="B72" t="s">
        <v>23</v>
      </c>
      <c r="C72">
        <v>218081</v>
      </c>
      <c r="D72">
        <v>7068</v>
      </c>
      <c r="E72">
        <v>3.24</v>
      </c>
      <c r="F72">
        <v>11458.56</v>
      </c>
      <c r="G72">
        <v>1.62</v>
      </c>
      <c r="H72">
        <v>281</v>
      </c>
      <c r="I72">
        <v>3.98</v>
      </c>
      <c r="J72">
        <v>17989.939999999999</v>
      </c>
      <c r="K72">
        <v>1.57</v>
      </c>
      <c r="L72">
        <v>40.78</v>
      </c>
      <c r="M72">
        <v>281</v>
      </c>
    </row>
    <row r="73" spans="1:13" x14ac:dyDescent="0.2">
      <c r="A73" t="s">
        <v>368</v>
      </c>
      <c r="B73" t="s">
        <v>37</v>
      </c>
      <c r="C73">
        <v>263783</v>
      </c>
      <c r="D73">
        <v>4754</v>
      </c>
      <c r="E73">
        <v>1.8</v>
      </c>
      <c r="F73">
        <v>4317.62</v>
      </c>
      <c r="G73">
        <v>0.91</v>
      </c>
      <c r="H73">
        <v>92</v>
      </c>
      <c r="I73">
        <v>1.94</v>
      </c>
      <c r="J73">
        <v>4803.1000000000004</v>
      </c>
      <c r="K73">
        <v>1.1100000000000001</v>
      </c>
      <c r="L73">
        <v>46.93</v>
      </c>
      <c r="M73">
        <v>92</v>
      </c>
    </row>
    <row r="74" spans="1:13" x14ac:dyDescent="0.2">
      <c r="A74" t="s">
        <v>368</v>
      </c>
      <c r="B74" t="s">
        <v>58</v>
      </c>
      <c r="C74">
        <v>109000</v>
      </c>
      <c r="D74">
        <v>5145</v>
      </c>
      <c r="E74">
        <v>4.72</v>
      </c>
      <c r="F74">
        <v>602.05999999999995</v>
      </c>
      <c r="G74">
        <v>0.12</v>
      </c>
      <c r="H74">
        <v>336</v>
      </c>
      <c r="I74">
        <v>6.53</v>
      </c>
      <c r="J74">
        <v>21940.16</v>
      </c>
      <c r="K74">
        <v>36.44</v>
      </c>
      <c r="L74">
        <v>1.79</v>
      </c>
      <c r="M74">
        <v>336</v>
      </c>
    </row>
    <row r="75" spans="1:13" x14ac:dyDescent="0.2">
      <c r="A75" t="s">
        <v>368</v>
      </c>
      <c r="B75" t="s">
        <v>35</v>
      </c>
      <c r="C75">
        <v>143096</v>
      </c>
      <c r="D75">
        <v>1590</v>
      </c>
      <c r="E75">
        <v>1.1100000000000001</v>
      </c>
      <c r="F75">
        <v>1854.82</v>
      </c>
      <c r="G75">
        <v>1.17</v>
      </c>
      <c r="H75">
        <v>34</v>
      </c>
      <c r="I75">
        <v>2.14</v>
      </c>
      <c r="J75">
        <v>2050.09</v>
      </c>
      <c r="K75">
        <v>1.1100000000000001</v>
      </c>
      <c r="L75">
        <v>54.55</v>
      </c>
      <c r="M75">
        <v>34</v>
      </c>
    </row>
    <row r="76" spans="1:13" x14ac:dyDescent="0.2">
      <c r="A76" t="s">
        <v>368</v>
      </c>
      <c r="B76" t="s">
        <v>32</v>
      </c>
      <c r="C76">
        <v>160806</v>
      </c>
      <c r="D76">
        <v>4521</v>
      </c>
      <c r="E76">
        <v>2.81</v>
      </c>
      <c r="F76">
        <v>393.51</v>
      </c>
      <c r="G76">
        <v>0.09</v>
      </c>
      <c r="H76">
        <v>180</v>
      </c>
      <c r="I76">
        <v>3.98</v>
      </c>
      <c r="J76">
        <v>12446.75</v>
      </c>
      <c r="K76">
        <v>31.63</v>
      </c>
      <c r="L76">
        <v>2.19</v>
      </c>
      <c r="M76">
        <v>180</v>
      </c>
    </row>
    <row r="77" spans="1:13" x14ac:dyDescent="0.2">
      <c r="A77" t="s">
        <v>369</v>
      </c>
      <c r="B77" t="s">
        <v>23</v>
      </c>
      <c r="C77">
        <v>182039</v>
      </c>
      <c r="D77">
        <v>6628</v>
      </c>
      <c r="E77">
        <v>3.64</v>
      </c>
      <c r="F77">
        <v>11161.64</v>
      </c>
      <c r="G77">
        <v>1.68</v>
      </c>
      <c r="H77">
        <v>221</v>
      </c>
      <c r="I77">
        <v>3.33</v>
      </c>
      <c r="J77">
        <v>13901.39</v>
      </c>
      <c r="K77">
        <v>1.25</v>
      </c>
      <c r="L77">
        <v>50.51</v>
      </c>
      <c r="M77">
        <v>221</v>
      </c>
    </row>
    <row r="78" spans="1:13" x14ac:dyDescent="0.2">
      <c r="A78" t="s">
        <v>369</v>
      </c>
      <c r="B78" t="s">
        <v>37</v>
      </c>
      <c r="C78">
        <v>267813</v>
      </c>
      <c r="D78">
        <v>4805</v>
      </c>
      <c r="E78">
        <v>1.79</v>
      </c>
      <c r="F78">
        <v>4303.57</v>
      </c>
      <c r="G78">
        <v>0.9</v>
      </c>
      <c r="H78">
        <v>90</v>
      </c>
      <c r="I78">
        <v>1.87</v>
      </c>
      <c r="J78">
        <v>4319.4799999999996</v>
      </c>
      <c r="K78">
        <v>1</v>
      </c>
      <c r="L78">
        <v>47.82</v>
      </c>
      <c r="M78">
        <v>90</v>
      </c>
    </row>
    <row r="79" spans="1:13" x14ac:dyDescent="0.2">
      <c r="A79" t="s">
        <v>369</v>
      </c>
      <c r="B79" t="s">
        <v>58</v>
      </c>
      <c r="C79">
        <v>93711</v>
      </c>
      <c r="D79">
        <v>3918</v>
      </c>
      <c r="E79">
        <v>4.18</v>
      </c>
      <c r="F79">
        <v>456.46</v>
      </c>
      <c r="G79">
        <v>0.12</v>
      </c>
      <c r="H79">
        <v>250</v>
      </c>
      <c r="I79">
        <v>6.38</v>
      </c>
      <c r="J79">
        <v>18337.73</v>
      </c>
      <c r="K79">
        <v>40.17</v>
      </c>
      <c r="L79">
        <v>1.83</v>
      </c>
      <c r="M79">
        <v>250</v>
      </c>
    </row>
    <row r="80" spans="1:13" x14ac:dyDescent="0.2">
      <c r="A80" t="s">
        <v>369</v>
      </c>
      <c r="B80" t="s">
        <v>35</v>
      </c>
      <c r="C80">
        <v>138167</v>
      </c>
      <c r="D80">
        <v>1651</v>
      </c>
      <c r="E80">
        <v>1.19</v>
      </c>
      <c r="F80">
        <v>2198.5100000000002</v>
      </c>
      <c r="G80">
        <v>1.33</v>
      </c>
      <c r="H80">
        <v>35</v>
      </c>
      <c r="I80">
        <v>2.12</v>
      </c>
      <c r="J80">
        <v>2211.7399999999998</v>
      </c>
      <c r="K80">
        <v>1.01</v>
      </c>
      <c r="L80">
        <v>62.81</v>
      </c>
      <c r="M80">
        <v>35</v>
      </c>
    </row>
    <row r="81" spans="1:13" x14ac:dyDescent="0.2">
      <c r="A81" t="s">
        <v>369</v>
      </c>
      <c r="B81" t="s">
        <v>32</v>
      </c>
      <c r="C81">
        <v>167651</v>
      </c>
      <c r="D81">
        <v>4492</v>
      </c>
      <c r="E81">
        <v>2.68</v>
      </c>
      <c r="F81">
        <v>327.60000000000002</v>
      </c>
      <c r="G81">
        <v>7.0000000000000007E-2</v>
      </c>
      <c r="H81">
        <v>198</v>
      </c>
      <c r="I81">
        <v>4.41</v>
      </c>
      <c r="J81">
        <v>12268.97</v>
      </c>
      <c r="K81">
        <v>37.450000000000003</v>
      </c>
      <c r="L81">
        <v>1.65</v>
      </c>
      <c r="M81">
        <v>198</v>
      </c>
    </row>
    <row r="82" spans="1:13" x14ac:dyDescent="0.2">
      <c r="A82" t="s">
        <v>370</v>
      </c>
      <c r="B82" t="s">
        <v>23</v>
      </c>
      <c r="C82">
        <v>189057</v>
      </c>
      <c r="D82">
        <v>6538</v>
      </c>
      <c r="E82">
        <v>3.46</v>
      </c>
      <c r="F82">
        <v>10378.85</v>
      </c>
      <c r="G82">
        <v>1.59</v>
      </c>
      <c r="H82">
        <v>245</v>
      </c>
      <c r="I82">
        <v>3.75</v>
      </c>
      <c r="J82">
        <v>14809.31</v>
      </c>
      <c r="K82">
        <v>1.43</v>
      </c>
      <c r="L82">
        <v>42.36</v>
      </c>
      <c r="M82">
        <v>245</v>
      </c>
    </row>
    <row r="83" spans="1:13" x14ac:dyDescent="0.2">
      <c r="A83" t="s">
        <v>370</v>
      </c>
      <c r="B83" t="s">
        <v>37</v>
      </c>
      <c r="C83">
        <v>277867</v>
      </c>
      <c r="D83">
        <v>4892</v>
      </c>
      <c r="E83">
        <v>1.76</v>
      </c>
      <c r="F83">
        <v>4792.97</v>
      </c>
      <c r="G83">
        <v>0.98</v>
      </c>
      <c r="H83">
        <v>94</v>
      </c>
      <c r="I83">
        <v>1.92</v>
      </c>
      <c r="J83">
        <v>5013.13</v>
      </c>
      <c r="K83">
        <v>1.05</v>
      </c>
      <c r="L83">
        <v>50.99</v>
      </c>
      <c r="M83">
        <v>94</v>
      </c>
    </row>
    <row r="84" spans="1:13" x14ac:dyDescent="0.2">
      <c r="A84" t="s">
        <v>370</v>
      </c>
      <c r="B84" t="s">
        <v>58</v>
      </c>
      <c r="C84">
        <v>104413</v>
      </c>
      <c r="D84">
        <v>4947</v>
      </c>
      <c r="E84">
        <v>4.74</v>
      </c>
      <c r="F84">
        <v>559.35</v>
      </c>
      <c r="G84">
        <v>0.11</v>
      </c>
      <c r="H84">
        <v>325</v>
      </c>
      <c r="I84">
        <v>6.57</v>
      </c>
      <c r="J84">
        <v>23061.5</v>
      </c>
      <c r="K84">
        <v>41.23</v>
      </c>
      <c r="L84">
        <v>1.72</v>
      </c>
      <c r="M84">
        <v>325</v>
      </c>
    </row>
    <row r="85" spans="1:13" x14ac:dyDescent="0.2">
      <c r="A85" t="s">
        <v>370</v>
      </c>
      <c r="B85" t="s">
        <v>35</v>
      </c>
      <c r="C85">
        <v>134635</v>
      </c>
      <c r="D85">
        <v>1628</v>
      </c>
      <c r="E85">
        <v>1.21</v>
      </c>
      <c r="F85">
        <v>1985.45</v>
      </c>
      <c r="G85">
        <v>1.22</v>
      </c>
      <c r="H85">
        <v>31</v>
      </c>
      <c r="I85">
        <v>1.9</v>
      </c>
      <c r="J85">
        <v>1848.16</v>
      </c>
      <c r="K85">
        <v>0.93</v>
      </c>
      <c r="L85">
        <v>64.05</v>
      </c>
      <c r="M85">
        <v>31</v>
      </c>
    </row>
    <row r="86" spans="1:13" x14ac:dyDescent="0.2">
      <c r="A86" t="s">
        <v>370</v>
      </c>
      <c r="B86" t="s">
        <v>32</v>
      </c>
      <c r="C86">
        <v>153775</v>
      </c>
      <c r="D86">
        <v>4637</v>
      </c>
      <c r="E86">
        <v>3.02</v>
      </c>
      <c r="F86">
        <v>349.03</v>
      </c>
      <c r="G86">
        <v>0.08</v>
      </c>
      <c r="H86">
        <v>171</v>
      </c>
      <c r="I86">
        <v>3.69</v>
      </c>
      <c r="J86">
        <v>11112.94</v>
      </c>
      <c r="K86">
        <v>31.84</v>
      </c>
      <c r="L86">
        <v>2.04</v>
      </c>
      <c r="M86">
        <v>171</v>
      </c>
    </row>
    <row r="87" spans="1:13" x14ac:dyDescent="0.2">
      <c r="A87" t="s">
        <v>371</v>
      </c>
      <c r="B87" t="s">
        <v>23</v>
      </c>
      <c r="C87">
        <v>197472</v>
      </c>
      <c r="D87">
        <v>6689</v>
      </c>
      <c r="E87">
        <v>3.39</v>
      </c>
      <c r="F87">
        <v>9962.42</v>
      </c>
      <c r="G87">
        <v>1.49</v>
      </c>
      <c r="H87">
        <v>248</v>
      </c>
      <c r="I87">
        <v>3.71</v>
      </c>
      <c r="J87">
        <v>15407.53</v>
      </c>
      <c r="K87">
        <v>1.55</v>
      </c>
      <c r="L87">
        <v>40.17</v>
      </c>
      <c r="M87">
        <v>248</v>
      </c>
    </row>
    <row r="88" spans="1:13" x14ac:dyDescent="0.2">
      <c r="A88" t="s">
        <v>371</v>
      </c>
      <c r="B88" t="s">
        <v>37</v>
      </c>
      <c r="C88">
        <v>301728</v>
      </c>
      <c r="D88">
        <v>5657</v>
      </c>
      <c r="E88">
        <v>1.87</v>
      </c>
      <c r="F88">
        <v>5030.54</v>
      </c>
      <c r="G88">
        <v>0.89</v>
      </c>
      <c r="H88">
        <v>98</v>
      </c>
      <c r="I88">
        <v>1.73</v>
      </c>
      <c r="J88">
        <v>5092.8599999999997</v>
      </c>
      <c r="K88">
        <v>1.01</v>
      </c>
      <c r="L88">
        <v>51.33</v>
      </c>
      <c r="M88">
        <v>98</v>
      </c>
    </row>
    <row r="89" spans="1:13" x14ac:dyDescent="0.2">
      <c r="A89" t="s">
        <v>371</v>
      </c>
      <c r="B89" t="s">
        <v>58</v>
      </c>
      <c r="C89">
        <v>85813</v>
      </c>
      <c r="D89">
        <v>3964</v>
      </c>
      <c r="E89">
        <v>4.62</v>
      </c>
      <c r="F89">
        <v>463.31</v>
      </c>
      <c r="G89">
        <v>0.12</v>
      </c>
      <c r="H89">
        <v>277</v>
      </c>
      <c r="I89">
        <v>6.99</v>
      </c>
      <c r="J89">
        <v>17928.11</v>
      </c>
      <c r="K89">
        <v>38.700000000000003</v>
      </c>
      <c r="L89">
        <v>1.67</v>
      </c>
      <c r="M89">
        <v>277</v>
      </c>
    </row>
    <row r="90" spans="1:13" x14ac:dyDescent="0.2">
      <c r="A90" t="s">
        <v>371</v>
      </c>
      <c r="B90" t="s">
        <v>35</v>
      </c>
      <c r="C90">
        <v>128724</v>
      </c>
      <c r="D90">
        <v>1641</v>
      </c>
      <c r="E90">
        <v>1.27</v>
      </c>
      <c r="F90">
        <v>1982.4</v>
      </c>
      <c r="G90">
        <v>1.21</v>
      </c>
      <c r="H90">
        <v>29</v>
      </c>
      <c r="I90">
        <v>1.77</v>
      </c>
      <c r="J90">
        <v>1843.25</v>
      </c>
      <c r="K90">
        <v>0.93</v>
      </c>
      <c r="L90">
        <v>68.36</v>
      </c>
      <c r="M90">
        <v>29</v>
      </c>
    </row>
    <row r="91" spans="1:13" x14ac:dyDescent="0.2">
      <c r="A91" t="s">
        <v>371</v>
      </c>
      <c r="B91" t="s">
        <v>32</v>
      </c>
      <c r="C91">
        <v>159699</v>
      </c>
      <c r="D91">
        <v>4628</v>
      </c>
      <c r="E91">
        <v>2.9</v>
      </c>
      <c r="F91">
        <v>352.49</v>
      </c>
      <c r="G91">
        <v>0.08</v>
      </c>
      <c r="H91">
        <v>191</v>
      </c>
      <c r="I91">
        <v>4.13</v>
      </c>
      <c r="J91">
        <v>12399.69</v>
      </c>
      <c r="K91">
        <v>35.18</v>
      </c>
      <c r="L91">
        <v>1.85</v>
      </c>
      <c r="M91">
        <v>191</v>
      </c>
    </row>
    <row r="92" spans="1:13" x14ac:dyDescent="0.2">
      <c r="A92" t="s">
        <v>372</v>
      </c>
      <c r="B92" t="s">
        <v>23</v>
      </c>
      <c r="C92">
        <v>164965</v>
      </c>
      <c r="D92">
        <v>5178</v>
      </c>
      <c r="E92">
        <v>3.14</v>
      </c>
      <c r="F92">
        <v>8702.0300000000007</v>
      </c>
      <c r="G92">
        <v>1.68</v>
      </c>
      <c r="H92">
        <v>176</v>
      </c>
      <c r="I92">
        <v>3.4</v>
      </c>
      <c r="J92">
        <v>10685.51</v>
      </c>
      <c r="K92">
        <v>1.23</v>
      </c>
      <c r="L92">
        <v>49.44</v>
      </c>
      <c r="M92">
        <v>176</v>
      </c>
    </row>
    <row r="93" spans="1:13" x14ac:dyDescent="0.2">
      <c r="A93" t="s">
        <v>372</v>
      </c>
      <c r="B93" t="s">
        <v>37</v>
      </c>
      <c r="C93">
        <v>262880</v>
      </c>
      <c r="D93">
        <v>4777</v>
      </c>
      <c r="E93">
        <v>1.82</v>
      </c>
      <c r="F93">
        <v>3840.67</v>
      </c>
      <c r="G93">
        <v>0.8</v>
      </c>
      <c r="H93">
        <v>89</v>
      </c>
      <c r="I93">
        <v>1.86</v>
      </c>
      <c r="J93">
        <v>4220.93</v>
      </c>
      <c r="K93">
        <v>1.1000000000000001</v>
      </c>
      <c r="L93">
        <v>43.15</v>
      </c>
      <c r="M93">
        <v>89</v>
      </c>
    </row>
    <row r="94" spans="1:13" x14ac:dyDescent="0.2">
      <c r="A94" t="s">
        <v>372</v>
      </c>
      <c r="B94" t="s">
        <v>58</v>
      </c>
      <c r="C94">
        <v>81721</v>
      </c>
      <c r="D94">
        <v>3426</v>
      </c>
      <c r="E94">
        <v>4.1900000000000004</v>
      </c>
      <c r="F94">
        <v>445.46</v>
      </c>
      <c r="G94">
        <v>0.13</v>
      </c>
      <c r="H94">
        <v>193</v>
      </c>
      <c r="I94">
        <v>5.63</v>
      </c>
      <c r="J94">
        <v>12556.68</v>
      </c>
      <c r="K94">
        <v>28.19</v>
      </c>
      <c r="L94">
        <v>2.31</v>
      </c>
      <c r="M94">
        <v>193</v>
      </c>
    </row>
    <row r="95" spans="1:13" x14ac:dyDescent="0.2">
      <c r="A95" t="s">
        <v>372</v>
      </c>
      <c r="B95" t="s">
        <v>35</v>
      </c>
      <c r="C95">
        <v>119560</v>
      </c>
      <c r="D95">
        <v>1557</v>
      </c>
      <c r="E95">
        <v>1.3</v>
      </c>
      <c r="F95">
        <v>1789.42</v>
      </c>
      <c r="G95">
        <v>1.1499999999999999</v>
      </c>
      <c r="H95">
        <v>30</v>
      </c>
      <c r="I95">
        <v>1.93</v>
      </c>
      <c r="J95">
        <v>1663.42</v>
      </c>
      <c r="K95">
        <v>0.93</v>
      </c>
      <c r="L95">
        <v>59.65</v>
      </c>
      <c r="M95">
        <v>30</v>
      </c>
    </row>
    <row r="96" spans="1:13" x14ac:dyDescent="0.2">
      <c r="A96" t="s">
        <v>372</v>
      </c>
      <c r="B96" t="s">
        <v>32</v>
      </c>
      <c r="C96">
        <v>149819</v>
      </c>
      <c r="D96">
        <v>4308</v>
      </c>
      <c r="E96">
        <v>2.88</v>
      </c>
      <c r="F96">
        <v>353.46</v>
      </c>
      <c r="G96">
        <v>0.08</v>
      </c>
      <c r="H96">
        <v>171</v>
      </c>
      <c r="I96">
        <v>3.97</v>
      </c>
      <c r="J96">
        <v>10914.78</v>
      </c>
      <c r="K96">
        <v>30.88</v>
      </c>
      <c r="L96">
        <v>2.0699999999999998</v>
      </c>
      <c r="M96">
        <v>171</v>
      </c>
    </row>
    <row r="97" spans="1:13" x14ac:dyDescent="0.2">
      <c r="A97" t="s">
        <v>373</v>
      </c>
      <c r="B97" t="s">
        <v>23</v>
      </c>
      <c r="C97">
        <v>157911</v>
      </c>
      <c r="D97">
        <v>5265</v>
      </c>
      <c r="E97">
        <v>3.33</v>
      </c>
      <c r="F97">
        <v>7523.3</v>
      </c>
      <c r="G97">
        <v>1.43</v>
      </c>
      <c r="H97">
        <v>206</v>
      </c>
      <c r="I97">
        <v>3.91</v>
      </c>
      <c r="J97">
        <v>13984.59</v>
      </c>
      <c r="K97">
        <v>1.86</v>
      </c>
      <c r="L97">
        <v>36.520000000000003</v>
      </c>
      <c r="M97">
        <v>206</v>
      </c>
    </row>
    <row r="98" spans="1:13" x14ac:dyDescent="0.2">
      <c r="A98" t="s">
        <v>373</v>
      </c>
      <c r="B98" t="s">
        <v>37</v>
      </c>
      <c r="C98">
        <v>275013</v>
      </c>
      <c r="D98">
        <v>5097</v>
      </c>
      <c r="E98">
        <v>1.85</v>
      </c>
      <c r="F98">
        <v>4629.67</v>
      </c>
      <c r="G98">
        <v>0.91</v>
      </c>
      <c r="H98">
        <v>98</v>
      </c>
      <c r="I98">
        <v>1.92</v>
      </c>
      <c r="J98">
        <v>4767.33</v>
      </c>
      <c r="K98">
        <v>1.03</v>
      </c>
      <c r="L98">
        <v>47.24</v>
      </c>
      <c r="M98">
        <v>98</v>
      </c>
    </row>
    <row r="99" spans="1:13" x14ac:dyDescent="0.2">
      <c r="A99" t="s">
        <v>373</v>
      </c>
      <c r="B99" t="s">
        <v>58</v>
      </c>
      <c r="C99">
        <v>88814</v>
      </c>
      <c r="D99">
        <v>4086</v>
      </c>
      <c r="E99">
        <v>4.5999999999999996</v>
      </c>
      <c r="F99">
        <v>493.28</v>
      </c>
      <c r="G99">
        <v>0.12</v>
      </c>
      <c r="H99">
        <v>274</v>
      </c>
      <c r="I99">
        <v>6.71</v>
      </c>
      <c r="J99">
        <v>18488.310000000001</v>
      </c>
      <c r="K99">
        <v>37.479999999999997</v>
      </c>
      <c r="L99">
        <v>1.8</v>
      </c>
      <c r="M99">
        <v>274</v>
      </c>
    </row>
    <row r="100" spans="1:13" x14ac:dyDescent="0.2">
      <c r="A100" t="s">
        <v>373</v>
      </c>
      <c r="B100" t="s">
        <v>35</v>
      </c>
      <c r="C100">
        <v>110576</v>
      </c>
      <c r="D100">
        <v>1464</v>
      </c>
      <c r="E100">
        <v>1.32</v>
      </c>
      <c r="F100">
        <v>1602.85</v>
      </c>
      <c r="G100">
        <v>1.0900000000000001</v>
      </c>
      <c r="H100">
        <v>29</v>
      </c>
      <c r="I100">
        <v>1.98</v>
      </c>
      <c r="J100">
        <v>1828.2</v>
      </c>
      <c r="K100">
        <v>1.1399999999999999</v>
      </c>
      <c r="L100">
        <v>55.27</v>
      </c>
      <c r="M100">
        <v>29</v>
      </c>
    </row>
    <row r="101" spans="1:13" x14ac:dyDescent="0.2">
      <c r="A101" t="s">
        <v>373</v>
      </c>
      <c r="B101" t="s">
        <v>32</v>
      </c>
      <c r="C101">
        <v>147384</v>
      </c>
      <c r="D101">
        <v>4210</v>
      </c>
      <c r="E101">
        <v>2.86</v>
      </c>
      <c r="F101">
        <v>321.63</v>
      </c>
      <c r="G101">
        <v>0.08</v>
      </c>
      <c r="H101">
        <v>167</v>
      </c>
      <c r="I101">
        <v>3.97</v>
      </c>
      <c r="J101">
        <v>11519.6</v>
      </c>
      <c r="K101">
        <v>35.82</v>
      </c>
      <c r="L101">
        <v>1.93</v>
      </c>
      <c r="M101">
        <v>167</v>
      </c>
    </row>
    <row r="102" spans="1:13" x14ac:dyDescent="0.2">
      <c r="A102" t="s">
        <v>374</v>
      </c>
      <c r="B102" t="s">
        <v>23</v>
      </c>
      <c r="C102">
        <v>168197</v>
      </c>
      <c r="D102">
        <v>5794</v>
      </c>
      <c r="E102">
        <v>3.44</v>
      </c>
      <c r="F102">
        <v>8279.3799999999992</v>
      </c>
      <c r="G102">
        <v>1.43</v>
      </c>
      <c r="H102">
        <v>184</v>
      </c>
      <c r="I102">
        <v>3.18</v>
      </c>
      <c r="J102">
        <v>12486.66</v>
      </c>
      <c r="K102">
        <v>1.51</v>
      </c>
      <c r="L102">
        <v>45</v>
      </c>
      <c r="M102">
        <v>184</v>
      </c>
    </row>
    <row r="103" spans="1:13" x14ac:dyDescent="0.2">
      <c r="A103" t="s">
        <v>374</v>
      </c>
      <c r="B103" t="s">
        <v>37</v>
      </c>
      <c r="C103">
        <v>233431</v>
      </c>
      <c r="D103">
        <v>4098</v>
      </c>
      <c r="E103">
        <v>1.76</v>
      </c>
      <c r="F103">
        <v>3308.86</v>
      </c>
      <c r="G103">
        <v>0.81</v>
      </c>
      <c r="H103">
        <v>78</v>
      </c>
      <c r="I103">
        <v>1.9</v>
      </c>
      <c r="J103">
        <v>4165.54</v>
      </c>
      <c r="K103">
        <v>1.26</v>
      </c>
      <c r="L103">
        <v>42.42</v>
      </c>
      <c r="M103">
        <v>78</v>
      </c>
    </row>
    <row r="104" spans="1:13" x14ac:dyDescent="0.2">
      <c r="A104" t="s">
        <v>374</v>
      </c>
      <c r="B104" t="s">
        <v>58</v>
      </c>
      <c r="C104">
        <v>84396</v>
      </c>
      <c r="D104">
        <v>3601</v>
      </c>
      <c r="E104">
        <v>4.2699999999999996</v>
      </c>
      <c r="F104">
        <v>444.21</v>
      </c>
      <c r="G104">
        <v>0.12</v>
      </c>
      <c r="H104">
        <v>242</v>
      </c>
      <c r="I104">
        <v>6.72</v>
      </c>
      <c r="J104">
        <v>16636.400000000001</v>
      </c>
      <c r="K104">
        <v>37.450000000000003</v>
      </c>
      <c r="L104">
        <v>1.84</v>
      </c>
      <c r="M104">
        <v>242</v>
      </c>
    </row>
    <row r="105" spans="1:13" x14ac:dyDescent="0.2">
      <c r="A105" t="s">
        <v>374</v>
      </c>
      <c r="B105" t="s">
        <v>35</v>
      </c>
      <c r="C105">
        <v>119863</v>
      </c>
      <c r="D105">
        <v>1499</v>
      </c>
      <c r="E105">
        <v>1.25</v>
      </c>
      <c r="F105">
        <v>1974.79</v>
      </c>
      <c r="G105">
        <v>1.32</v>
      </c>
      <c r="H105">
        <v>31</v>
      </c>
      <c r="I105">
        <v>2.0699999999999998</v>
      </c>
      <c r="J105">
        <v>1743.51</v>
      </c>
      <c r="K105">
        <v>0.88</v>
      </c>
      <c r="L105">
        <v>63.7</v>
      </c>
      <c r="M105">
        <v>31</v>
      </c>
    </row>
    <row r="106" spans="1:13" x14ac:dyDescent="0.2">
      <c r="A106" t="s">
        <v>374</v>
      </c>
      <c r="B106" t="s">
        <v>32</v>
      </c>
      <c r="C106">
        <v>132643</v>
      </c>
      <c r="D106">
        <v>3507</v>
      </c>
      <c r="E106">
        <v>2.64</v>
      </c>
      <c r="F106">
        <v>308.60000000000002</v>
      </c>
      <c r="G106">
        <v>0.09</v>
      </c>
      <c r="H106">
        <v>156</v>
      </c>
      <c r="I106">
        <v>4.45</v>
      </c>
      <c r="J106">
        <v>10497.77</v>
      </c>
      <c r="K106">
        <v>34.020000000000003</v>
      </c>
      <c r="L106">
        <v>1.98</v>
      </c>
      <c r="M106">
        <v>156</v>
      </c>
    </row>
    <row r="107" spans="1:13" x14ac:dyDescent="0.2">
      <c r="A107" t="s">
        <v>375</v>
      </c>
      <c r="B107" t="s">
        <v>23</v>
      </c>
      <c r="C107">
        <v>156526</v>
      </c>
      <c r="D107">
        <v>5005</v>
      </c>
      <c r="E107">
        <v>3.2</v>
      </c>
      <c r="F107">
        <v>8273.01</v>
      </c>
      <c r="G107">
        <v>1.65</v>
      </c>
      <c r="H107">
        <v>181</v>
      </c>
      <c r="I107">
        <v>3.62</v>
      </c>
      <c r="J107">
        <v>11040.97</v>
      </c>
      <c r="K107">
        <v>1.33</v>
      </c>
      <c r="L107">
        <v>45.71</v>
      </c>
      <c r="M107">
        <v>181</v>
      </c>
    </row>
    <row r="108" spans="1:13" x14ac:dyDescent="0.2">
      <c r="A108" t="s">
        <v>375</v>
      </c>
      <c r="B108" t="s">
        <v>37</v>
      </c>
      <c r="C108">
        <v>242343</v>
      </c>
      <c r="D108">
        <v>3744</v>
      </c>
      <c r="E108">
        <v>1.54</v>
      </c>
      <c r="F108">
        <v>3201.67</v>
      </c>
      <c r="G108">
        <v>0.86</v>
      </c>
      <c r="H108">
        <v>67</v>
      </c>
      <c r="I108">
        <v>1.79</v>
      </c>
      <c r="J108">
        <v>3191.71</v>
      </c>
      <c r="K108">
        <v>1</v>
      </c>
      <c r="L108">
        <v>47.79</v>
      </c>
      <c r="M108">
        <v>67</v>
      </c>
    </row>
    <row r="109" spans="1:13" x14ac:dyDescent="0.2">
      <c r="A109" t="s">
        <v>375</v>
      </c>
      <c r="B109" t="s">
        <v>58</v>
      </c>
      <c r="C109">
        <v>90446</v>
      </c>
      <c r="D109">
        <v>3935</v>
      </c>
      <c r="E109">
        <v>4.3499999999999996</v>
      </c>
      <c r="F109">
        <v>438.52</v>
      </c>
      <c r="G109">
        <v>0.11</v>
      </c>
      <c r="H109">
        <v>228</v>
      </c>
      <c r="I109">
        <v>5.79</v>
      </c>
      <c r="J109">
        <v>16517.330000000002</v>
      </c>
      <c r="K109">
        <v>37.67</v>
      </c>
      <c r="L109">
        <v>1.92</v>
      </c>
      <c r="M109">
        <v>228</v>
      </c>
    </row>
    <row r="110" spans="1:13" x14ac:dyDescent="0.2">
      <c r="A110" t="s">
        <v>375</v>
      </c>
      <c r="B110" t="s">
        <v>35</v>
      </c>
      <c r="C110">
        <v>107310</v>
      </c>
      <c r="D110">
        <v>1319</v>
      </c>
      <c r="E110">
        <v>1.23</v>
      </c>
      <c r="F110">
        <v>1431.84</v>
      </c>
      <c r="G110">
        <v>1.0900000000000001</v>
      </c>
      <c r="H110">
        <v>23</v>
      </c>
      <c r="I110">
        <v>1.74</v>
      </c>
      <c r="J110">
        <v>1356.51</v>
      </c>
      <c r="K110">
        <v>0.95</v>
      </c>
      <c r="L110">
        <v>62.25</v>
      </c>
      <c r="M110">
        <v>23</v>
      </c>
    </row>
    <row r="111" spans="1:13" x14ac:dyDescent="0.2">
      <c r="A111" t="s">
        <v>375</v>
      </c>
      <c r="B111" t="s">
        <v>32</v>
      </c>
      <c r="C111">
        <v>145754</v>
      </c>
      <c r="D111">
        <v>4467</v>
      </c>
      <c r="E111">
        <v>3.06</v>
      </c>
      <c r="F111">
        <v>328.44</v>
      </c>
      <c r="G111">
        <v>7.0000000000000007E-2</v>
      </c>
      <c r="H111">
        <v>187</v>
      </c>
      <c r="I111">
        <v>4.1900000000000004</v>
      </c>
      <c r="J111">
        <v>13009.03</v>
      </c>
      <c r="K111">
        <v>39.61</v>
      </c>
      <c r="L111">
        <v>1.76</v>
      </c>
      <c r="M111">
        <v>187</v>
      </c>
    </row>
    <row r="112" spans="1:13" x14ac:dyDescent="0.2">
      <c r="A112" t="s">
        <v>376</v>
      </c>
      <c r="B112" t="s">
        <v>23</v>
      </c>
      <c r="C112">
        <v>162003</v>
      </c>
      <c r="D112">
        <v>5962</v>
      </c>
      <c r="E112">
        <v>3.68</v>
      </c>
      <c r="F112">
        <v>8588.7999999999993</v>
      </c>
      <c r="G112">
        <v>1.44</v>
      </c>
      <c r="H112">
        <v>243</v>
      </c>
      <c r="I112">
        <v>4.08</v>
      </c>
      <c r="J112">
        <v>16010.84</v>
      </c>
      <c r="K112">
        <v>1.86</v>
      </c>
      <c r="L112">
        <v>35.340000000000003</v>
      </c>
      <c r="M112">
        <v>243</v>
      </c>
    </row>
    <row r="113" spans="1:13" x14ac:dyDescent="0.2">
      <c r="A113" t="s">
        <v>376</v>
      </c>
      <c r="B113" t="s">
        <v>37</v>
      </c>
      <c r="C113">
        <v>262916</v>
      </c>
      <c r="D113">
        <v>4687</v>
      </c>
      <c r="E113">
        <v>1.78</v>
      </c>
      <c r="F113">
        <v>4041.86</v>
      </c>
      <c r="G113">
        <v>0.86</v>
      </c>
      <c r="H113">
        <v>95</v>
      </c>
      <c r="I113">
        <v>2.0299999999999998</v>
      </c>
      <c r="J113">
        <v>4614.66</v>
      </c>
      <c r="K113">
        <v>1.1399999999999999</v>
      </c>
      <c r="L113">
        <v>42.55</v>
      </c>
      <c r="M113">
        <v>95</v>
      </c>
    </row>
    <row r="114" spans="1:13" x14ac:dyDescent="0.2">
      <c r="A114" t="s">
        <v>376</v>
      </c>
      <c r="B114" t="s">
        <v>58</v>
      </c>
      <c r="C114">
        <v>79992</v>
      </c>
      <c r="D114">
        <v>3878</v>
      </c>
      <c r="E114">
        <v>4.8499999999999996</v>
      </c>
      <c r="F114">
        <v>497.18</v>
      </c>
      <c r="G114">
        <v>0.13</v>
      </c>
      <c r="H114">
        <v>271</v>
      </c>
      <c r="I114">
        <v>6.99</v>
      </c>
      <c r="J114">
        <v>18072.71</v>
      </c>
      <c r="K114">
        <v>36.35</v>
      </c>
      <c r="L114">
        <v>1.83</v>
      </c>
      <c r="M114">
        <v>271</v>
      </c>
    </row>
    <row r="115" spans="1:13" x14ac:dyDescent="0.2">
      <c r="A115" t="s">
        <v>376</v>
      </c>
      <c r="B115" t="s">
        <v>35</v>
      </c>
      <c r="C115">
        <v>117889</v>
      </c>
      <c r="D115">
        <v>1503</v>
      </c>
      <c r="E115">
        <v>1.27</v>
      </c>
      <c r="F115">
        <v>1648.55</v>
      </c>
      <c r="G115">
        <v>1.1000000000000001</v>
      </c>
      <c r="H115">
        <v>29</v>
      </c>
      <c r="I115">
        <v>1.93</v>
      </c>
      <c r="J115">
        <v>1669.24</v>
      </c>
      <c r="K115">
        <v>1.01</v>
      </c>
      <c r="L115">
        <v>56.85</v>
      </c>
      <c r="M115">
        <v>29</v>
      </c>
    </row>
    <row r="116" spans="1:13" x14ac:dyDescent="0.2">
      <c r="A116" t="s">
        <v>376</v>
      </c>
      <c r="B116" t="s">
        <v>32</v>
      </c>
      <c r="C116">
        <v>132486</v>
      </c>
      <c r="D116">
        <v>4140</v>
      </c>
      <c r="E116">
        <v>3.12</v>
      </c>
      <c r="F116">
        <v>344.92</v>
      </c>
      <c r="G116">
        <v>0.08</v>
      </c>
      <c r="H116">
        <v>182</v>
      </c>
      <c r="I116">
        <v>4.4000000000000004</v>
      </c>
      <c r="J116">
        <v>12771.95</v>
      </c>
      <c r="K116">
        <v>37.03</v>
      </c>
      <c r="L116">
        <v>1.9</v>
      </c>
      <c r="M116">
        <v>182</v>
      </c>
    </row>
    <row r="117" spans="1:13" x14ac:dyDescent="0.2">
      <c r="A117" t="s">
        <v>377</v>
      </c>
      <c r="B117" t="s">
        <v>23</v>
      </c>
      <c r="C117">
        <v>168090</v>
      </c>
      <c r="D117">
        <v>6151</v>
      </c>
      <c r="E117">
        <v>3.66</v>
      </c>
      <c r="F117">
        <v>9492.07</v>
      </c>
      <c r="G117">
        <v>1.54</v>
      </c>
      <c r="H117">
        <v>246</v>
      </c>
      <c r="I117">
        <v>4</v>
      </c>
      <c r="J117">
        <v>14902.71</v>
      </c>
      <c r="K117">
        <v>1.57</v>
      </c>
      <c r="L117">
        <v>38.590000000000003</v>
      </c>
      <c r="M117">
        <v>246</v>
      </c>
    </row>
    <row r="118" spans="1:13" x14ac:dyDescent="0.2">
      <c r="A118" t="s">
        <v>377</v>
      </c>
      <c r="B118" t="s">
        <v>37</v>
      </c>
      <c r="C118">
        <v>273797</v>
      </c>
      <c r="D118">
        <v>4413</v>
      </c>
      <c r="E118">
        <v>1.61</v>
      </c>
      <c r="F118">
        <v>3773.8</v>
      </c>
      <c r="G118">
        <v>0.86</v>
      </c>
      <c r="H118">
        <v>86</v>
      </c>
      <c r="I118">
        <v>1.95</v>
      </c>
      <c r="J118">
        <v>4252.1899999999996</v>
      </c>
      <c r="K118">
        <v>1.1299999999999999</v>
      </c>
      <c r="L118">
        <v>43.88</v>
      </c>
      <c r="M118">
        <v>86</v>
      </c>
    </row>
    <row r="119" spans="1:13" x14ac:dyDescent="0.2">
      <c r="A119" t="s">
        <v>377</v>
      </c>
      <c r="B119" t="s">
        <v>58</v>
      </c>
      <c r="C119">
        <v>88390</v>
      </c>
      <c r="D119">
        <v>4057</v>
      </c>
      <c r="E119">
        <v>4.59</v>
      </c>
      <c r="F119">
        <v>517.66999999999996</v>
      </c>
      <c r="G119">
        <v>0.13</v>
      </c>
      <c r="H119">
        <v>236</v>
      </c>
      <c r="I119">
        <v>5.82</v>
      </c>
      <c r="J119">
        <v>15386.32</v>
      </c>
      <c r="K119">
        <v>29.72</v>
      </c>
      <c r="L119">
        <v>2.19</v>
      </c>
      <c r="M119">
        <v>236</v>
      </c>
    </row>
    <row r="120" spans="1:13" x14ac:dyDescent="0.2">
      <c r="A120" t="s">
        <v>377</v>
      </c>
      <c r="B120" t="s">
        <v>35</v>
      </c>
      <c r="C120">
        <v>110122</v>
      </c>
      <c r="D120">
        <v>1327</v>
      </c>
      <c r="E120">
        <v>1.21</v>
      </c>
      <c r="F120">
        <v>1492.02</v>
      </c>
      <c r="G120">
        <v>1.1200000000000001</v>
      </c>
      <c r="H120">
        <v>25</v>
      </c>
      <c r="I120">
        <v>1.88</v>
      </c>
      <c r="J120">
        <v>1464.5</v>
      </c>
      <c r="K120">
        <v>0.98</v>
      </c>
      <c r="L120">
        <v>59.68</v>
      </c>
      <c r="M120">
        <v>25</v>
      </c>
    </row>
    <row r="121" spans="1:13" x14ac:dyDescent="0.2">
      <c r="A121" t="s">
        <v>377</v>
      </c>
      <c r="B121" t="s">
        <v>32</v>
      </c>
      <c r="C121">
        <v>130049</v>
      </c>
      <c r="D121">
        <v>3744</v>
      </c>
      <c r="E121">
        <v>2.88</v>
      </c>
      <c r="F121">
        <v>327.84</v>
      </c>
      <c r="G121">
        <v>0.09</v>
      </c>
      <c r="H121">
        <v>141</v>
      </c>
      <c r="I121">
        <v>3.77</v>
      </c>
      <c r="J121">
        <v>9381.99</v>
      </c>
      <c r="K121">
        <v>28.62</v>
      </c>
      <c r="L121">
        <v>2.33</v>
      </c>
      <c r="M121">
        <v>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"/>
  <sheetViews>
    <sheetView workbookViewId="0">
      <selection activeCell="E29" sqref="E29"/>
    </sheetView>
  </sheetViews>
  <sheetFormatPr baseColWidth="10" defaultColWidth="8.83203125" defaultRowHeight="15" x14ac:dyDescent="0.2"/>
  <cols>
    <col min="1" max="1" width="8" bestFit="1" customWidth="1"/>
    <col min="2" max="2" width="15" bestFit="1" customWidth="1"/>
    <col min="3" max="3" width="7.83203125" bestFit="1" customWidth="1"/>
    <col min="4" max="4" width="17.33203125" bestFit="1" customWidth="1"/>
    <col min="5" max="5" width="20" bestFit="1" customWidth="1"/>
    <col min="6" max="6" width="29.1640625" bestFit="1" customWidth="1"/>
    <col min="7" max="7" width="28.33203125" bestFit="1" customWidth="1"/>
  </cols>
  <sheetData>
    <row r="1" spans="1:7" s="20" customFormat="1" ht="19" x14ac:dyDescent="0.25">
      <c r="A1" s="19" t="s">
        <v>341</v>
      </c>
      <c r="B1" s="19" t="s">
        <v>350</v>
      </c>
      <c r="C1" s="19" t="s">
        <v>378</v>
      </c>
      <c r="D1" s="19" t="s">
        <v>379</v>
      </c>
      <c r="E1" s="19" t="s">
        <v>380</v>
      </c>
      <c r="F1" s="19" t="s">
        <v>381</v>
      </c>
      <c r="G1" s="19" t="s">
        <v>12</v>
      </c>
    </row>
    <row r="2" spans="1:7" x14ac:dyDescent="0.2">
      <c r="A2" t="s">
        <v>382</v>
      </c>
      <c r="B2">
        <v>148352.59</v>
      </c>
      <c r="C2">
        <v>2454</v>
      </c>
      <c r="D2">
        <v>942</v>
      </c>
      <c r="E2">
        <v>1512</v>
      </c>
      <c r="F2">
        <v>50069.36</v>
      </c>
      <c r="G2">
        <v>60.45</v>
      </c>
    </row>
    <row r="3" spans="1:7" x14ac:dyDescent="0.2">
      <c r="A3" t="s">
        <v>383</v>
      </c>
      <c r="B3">
        <v>157211.5</v>
      </c>
      <c r="C3">
        <v>2853</v>
      </c>
      <c r="D3">
        <v>1092</v>
      </c>
      <c r="E3">
        <v>1761</v>
      </c>
      <c r="F3">
        <v>58575.12</v>
      </c>
      <c r="G3">
        <v>55.1</v>
      </c>
    </row>
    <row r="4" spans="1:7" x14ac:dyDescent="0.2">
      <c r="A4" t="s">
        <v>384</v>
      </c>
      <c r="B4">
        <v>158008.5</v>
      </c>
      <c r="C4">
        <v>2642</v>
      </c>
      <c r="D4">
        <v>1102</v>
      </c>
      <c r="E4">
        <v>1540</v>
      </c>
      <c r="F4">
        <v>53549.57</v>
      </c>
      <c r="G4">
        <v>59.81</v>
      </c>
    </row>
    <row r="5" spans="1:7" x14ac:dyDescent="0.2">
      <c r="A5" t="s">
        <v>385</v>
      </c>
      <c r="B5">
        <v>171690.55</v>
      </c>
      <c r="C5">
        <v>2569</v>
      </c>
      <c r="D5">
        <v>991</v>
      </c>
      <c r="E5">
        <v>1578</v>
      </c>
      <c r="F5">
        <v>62064.39</v>
      </c>
      <c r="G5">
        <v>66.83</v>
      </c>
    </row>
    <row r="6" spans="1:7" x14ac:dyDescent="0.2">
      <c r="A6" t="s">
        <v>386</v>
      </c>
      <c r="B6">
        <v>177568.86</v>
      </c>
      <c r="C6">
        <v>2680</v>
      </c>
      <c r="D6">
        <v>950</v>
      </c>
      <c r="E6">
        <v>1730</v>
      </c>
      <c r="F6">
        <v>61530.3</v>
      </c>
      <c r="G6">
        <v>66.260000000000005</v>
      </c>
    </row>
    <row r="7" spans="1:7" x14ac:dyDescent="0.2">
      <c r="A7" t="s">
        <v>387</v>
      </c>
      <c r="B7">
        <v>165692.13</v>
      </c>
      <c r="C7">
        <v>2452</v>
      </c>
      <c r="D7">
        <v>940</v>
      </c>
      <c r="E7">
        <v>1512</v>
      </c>
      <c r="F7">
        <v>48324.31</v>
      </c>
      <c r="G7">
        <v>67.569999999999993</v>
      </c>
    </row>
    <row r="8" spans="1:7" x14ac:dyDescent="0.2">
      <c r="A8" t="s">
        <v>388</v>
      </c>
      <c r="B8">
        <v>167188.09</v>
      </c>
      <c r="C8">
        <v>2729</v>
      </c>
      <c r="D8">
        <v>841</v>
      </c>
      <c r="E8">
        <v>1888</v>
      </c>
      <c r="F8">
        <v>59679.53</v>
      </c>
      <c r="G8">
        <v>61.26</v>
      </c>
    </row>
    <row r="9" spans="1:7" x14ac:dyDescent="0.2">
      <c r="A9" t="s">
        <v>389</v>
      </c>
      <c r="B9">
        <v>152121.9</v>
      </c>
      <c r="C9">
        <v>2290</v>
      </c>
      <c r="D9">
        <v>743</v>
      </c>
      <c r="E9">
        <v>1547</v>
      </c>
      <c r="F9">
        <v>60195.4</v>
      </c>
      <c r="G9">
        <v>66.430000000000007</v>
      </c>
    </row>
    <row r="10" spans="1:7" x14ac:dyDescent="0.2">
      <c r="A10" t="s">
        <v>390</v>
      </c>
      <c r="B10">
        <v>149530.20000000001</v>
      </c>
      <c r="C10">
        <v>2684</v>
      </c>
      <c r="D10">
        <v>1118</v>
      </c>
      <c r="E10">
        <v>1566</v>
      </c>
      <c r="F10">
        <v>52599.66</v>
      </c>
      <c r="G10">
        <v>55.71</v>
      </c>
    </row>
    <row r="11" spans="1:7" x14ac:dyDescent="0.2">
      <c r="A11" t="s">
        <v>391</v>
      </c>
      <c r="B11">
        <v>144746.28</v>
      </c>
      <c r="C11">
        <v>2368</v>
      </c>
      <c r="D11">
        <v>954</v>
      </c>
      <c r="E11">
        <v>1414</v>
      </c>
      <c r="F11">
        <v>46707.66</v>
      </c>
      <c r="G11">
        <v>61.13</v>
      </c>
    </row>
    <row r="12" spans="1:7" x14ac:dyDescent="0.2">
      <c r="A12" t="s">
        <v>392</v>
      </c>
      <c r="B12">
        <v>177663.59</v>
      </c>
      <c r="C12">
        <v>3134</v>
      </c>
      <c r="D12">
        <v>1052</v>
      </c>
      <c r="E12">
        <v>2082</v>
      </c>
      <c r="F12">
        <v>69147.86</v>
      </c>
      <c r="G12">
        <v>56.69</v>
      </c>
    </row>
    <row r="13" spans="1:7" x14ac:dyDescent="0.2">
      <c r="A13" t="s">
        <v>393</v>
      </c>
      <c r="B13">
        <v>193563</v>
      </c>
      <c r="C13">
        <v>3339</v>
      </c>
      <c r="D13">
        <v>1068</v>
      </c>
      <c r="E13">
        <v>2271</v>
      </c>
      <c r="F13">
        <v>63214.22</v>
      </c>
      <c r="G13">
        <v>57.97</v>
      </c>
    </row>
    <row r="14" spans="1:7" x14ac:dyDescent="0.2">
      <c r="A14" t="s">
        <v>394</v>
      </c>
      <c r="B14">
        <v>184343.54</v>
      </c>
      <c r="C14">
        <v>3100</v>
      </c>
      <c r="D14">
        <v>1297</v>
      </c>
      <c r="E14">
        <v>1803</v>
      </c>
      <c r="F14">
        <v>64139.07</v>
      </c>
      <c r="G14">
        <v>59.47</v>
      </c>
    </row>
    <row r="15" spans="1:7" x14ac:dyDescent="0.2">
      <c r="A15" t="s">
        <v>395</v>
      </c>
      <c r="B15">
        <v>182450.57</v>
      </c>
      <c r="C15">
        <v>2740</v>
      </c>
      <c r="D15">
        <v>973</v>
      </c>
      <c r="E15">
        <v>1767</v>
      </c>
      <c r="F15">
        <v>69213.350000000006</v>
      </c>
      <c r="G15">
        <v>66.59</v>
      </c>
    </row>
    <row r="16" spans="1:7" x14ac:dyDescent="0.2">
      <c r="A16" t="s">
        <v>396</v>
      </c>
      <c r="B16">
        <v>210272.49</v>
      </c>
      <c r="C16">
        <v>3778</v>
      </c>
      <c r="D16">
        <v>1177</v>
      </c>
      <c r="E16">
        <v>2601</v>
      </c>
      <c r="F16">
        <v>80085.210000000006</v>
      </c>
      <c r="G16">
        <v>55.66</v>
      </c>
    </row>
    <row r="17" spans="1:7" x14ac:dyDescent="0.2">
      <c r="A17" t="s">
        <v>397</v>
      </c>
      <c r="B17">
        <v>200516.55</v>
      </c>
      <c r="C17">
        <v>3493</v>
      </c>
      <c r="D17">
        <v>1064</v>
      </c>
      <c r="E17">
        <v>2429</v>
      </c>
      <c r="F17">
        <v>56757.919999999998</v>
      </c>
      <c r="G17">
        <v>57.41</v>
      </c>
    </row>
    <row r="18" spans="1:7" x14ac:dyDescent="0.2">
      <c r="A18" t="s">
        <v>398</v>
      </c>
      <c r="B18">
        <v>211413.17</v>
      </c>
      <c r="C18">
        <v>3725</v>
      </c>
      <c r="D18">
        <v>1326</v>
      </c>
      <c r="E18">
        <v>2399</v>
      </c>
      <c r="F18">
        <v>77128.929999999993</v>
      </c>
      <c r="G18">
        <v>56.76</v>
      </c>
    </row>
    <row r="19" spans="1:7" x14ac:dyDescent="0.2">
      <c r="A19" t="s">
        <v>399</v>
      </c>
      <c r="B19">
        <v>198177.34</v>
      </c>
      <c r="C19">
        <v>3580</v>
      </c>
      <c r="D19">
        <v>1410</v>
      </c>
      <c r="E19">
        <v>2170</v>
      </c>
      <c r="F19">
        <v>55781.34</v>
      </c>
      <c r="G19">
        <v>55.36</v>
      </c>
    </row>
    <row r="20" spans="1:7" x14ac:dyDescent="0.2">
      <c r="A20" t="s">
        <v>400</v>
      </c>
      <c r="B20">
        <v>196423.5</v>
      </c>
      <c r="C20">
        <v>2948</v>
      </c>
      <c r="D20">
        <v>1037</v>
      </c>
      <c r="E20">
        <v>1911</v>
      </c>
      <c r="F20">
        <v>69725.62</v>
      </c>
      <c r="G20">
        <v>66.63</v>
      </c>
    </row>
    <row r="21" spans="1:7" x14ac:dyDescent="0.2">
      <c r="A21" t="s">
        <v>401</v>
      </c>
      <c r="B21">
        <v>181396.62</v>
      </c>
      <c r="C21">
        <v>3020</v>
      </c>
      <c r="D21">
        <v>1227</v>
      </c>
      <c r="E21">
        <v>1793</v>
      </c>
      <c r="F21">
        <v>73492.960000000006</v>
      </c>
      <c r="G21">
        <v>60.07</v>
      </c>
    </row>
    <row r="22" spans="1:7" x14ac:dyDescent="0.2">
      <c r="A22" t="s">
        <v>402</v>
      </c>
      <c r="B22">
        <v>172452.93</v>
      </c>
      <c r="C22">
        <v>2737</v>
      </c>
      <c r="D22">
        <v>1125</v>
      </c>
      <c r="E22">
        <v>1612</v>
      </c>
      <c r="F22">
        <v>71514.19</v>
      </c>
      <c r="G22">
        <v>63.01</v>
      </c>
    </row>
    <row r="23" spans="1:7" x14ac:dyDescent="0.2">
      <c r="A23" t="s">
        <v>403</v>
      </c>
      <c r="B23">
        <v>174840.28</v>
      </c>
      <c r="C23">
        <v>2871</v>
      </c>
      <c r="D23">
        <v>957</v>
      </c>
      <c r="E23">
        <v>1914</v>
      </c>
      <c r="F23">
        <v>72426.2</v>
      </c>
      <c r="G23">
        <v>60.9</v>
      </c>
    </row>
    <row r="24" spans="1:7" x14ac:dyDescent="0.2">
      <c r="A24" t="s">
        <v>404</v>
      </c>
      <c r="B24">
        <v>207835.56</v>
      </c>
      <c r="C24">
        <v>3323</v>
      </c>
      <c r="D24">
        <v>1109</v>
      </c>
      <c r="E24">
        <v>2214</v>
      </c>
      <c r="F24">
        <v>66312.259999999995</v>
      </c>
      <c r="G24">
        <v>62.54</v>
      </c>
    </row>
    <row r="25" spans="1:7" x14ac:dyDescent="0.2">
      <c r="A25" t="s">
        <v>405</v>
      </c>
      <c r="B25">
        <v>225563.16</v>
      </c>
      <c r="C25">
        <v>3317</v>
      </c>
      <c r="D25">
        <v>1016</v>
      </c>
      <c r="E25">
        <v>2301</v>
      </c>
      <c r="F25">
        <v>81427.360000000001</v>
      </c>
      <c r="G25">
        <v>68</v>
      </c>
    </row>
    <row r="26" spans="1:7" x14ac:dyDescent="0.2">
      <c r="A26" t="s">
        <v>354</v>
      </c>
      <c r="B26">
        <v>196612</v>
      </c>
      <c r="C26">
        <v>3448</v>
      </c>
      <c r="D26">
        <v>1216</v>
      </c>
      <c r="E26">
        <v>2232</v>
      </c>
      <c r="F26">
        <v>69102.12</v>
      </c>
      <c r="G26">
        <v>57.02</v>
      </c>
    </row>
    <row r="27" spans="1:7" x14ac:dyDescent="0.2">
      <c r="A27" t="s">
        <v>355</v>
      </c>
      <c r="B27">
        <v>215213.85</v>
      </c>
      <c r="C27">
        <v>3640</v>
      </c>
      <c r="D27">
        <v>1129</v>
      </c>
      <c r="E27">
        <v>2511</v>
      </c>
      <c r="F27">
        <v>69395.87</v>
      </c>
      <c r="G27">
        <v>59.12</v>
      </c>
    </row>
    <row r="28" spans="1:7" x14ac:dyDescent="0.2">
      <c r="A28" t="s">
        <v>356</v>
      </c>
      <c r="B28">
        <v>244880.49</v>
      </c>
      <c r="C28">
        <v>3639</v>
      </c>
      <c r="D28">
        <v>1237</v>
      </c>
      <c r="E28">
        <v>2402</v>
      </c>
      <c r="F28">
        <v>88137.279999999999</v>
      </c>
      <c r="G28">
        <v>67.290000000000006</v>
      </c>
    </row>
    <row r="29" spans="1:7" x14ac:dyDescent="0.2">
      <c r="A29" t="s">
        <v>357</v>
      </c>
      <c r="B29">
        <v>249913.21</v>
      </c>
      <c r="C29">
        <v>4537</v>
      </c>
      <c r="D29">
        <v>1802</v>
      </c>
      <c r="E29">
        <v>2735</v>
      </c>
      <c r="F29">
        <v>103157.11</v>
      </c>
      <c r="G29">
        <v>55.08</v>
      </c>
    </row>
    <row r="30" spans="1:7" x14ac:dyDescent="0.2">
      <c r="A30" t="s">
        <v>358</v>
      </c>
      <c r="B30">
        <v>227860.59</v>
      </c>
      <c r="C30">
        <v>3990</v>
      </c>
      <c r="D30">
        <v>1657</v>
      </c>
      <c r="E30">
        <v>2333</v>
      </c>
      <c r="F30">
        <v>80948.759999999995</v>
      </c>
      <c r="G30">
        <v>57.11</v>
      </c>
    </row>
    <row r="31" spans="1:7" x14ac:dyDescent="0.2">
      <c r="A31" t="s">
        <v>359</v>
      </c>
      <c r="B31">
        <v>219382.53</v>
      </c>
      <c r="C31">
        <v>3759</v>
      </c>
      <c r="D31">
        <v>1330</v>
      </c>
      <c r="E31">
        <v>2429</v>
      </c>
      <c r="F31">
        <v>82708.81</v>
      </c>
      <c r="G31">
        <v>58.36</v>
      </c>
    </row>
    <row r="32" spans="1:7" x14ac:dyDescent="0.2">
      <c r="A32" t="s">
        <v>360</v>
      </c>
      <c r="B32">
        <v>226742.48</v>
      </c>
      <c r="C32">
        <v>3337</v>
      </c>
      <c r="D32">
        <v>1116</v>
      </c>
      <c r="E32">
        <v>2221</v>
      </c>
      <c r="F32">
        <v>80573.13</v>
      </c>
      <c r="G32">
        <v>67.95</v>
      </c>
    </row>
    <row r="33" spans="1:7" x14ac:dyDescent="0.2">
      <c r="A33" t="s">
        <v>361</v>
      </c>
      <c r="B33">
        <v>210962.41</v>
      </c>
      <c r="C33">
        <v>3500</v>
      </c>
      <c r="D33">
        <v>1121</v>
      </c>
      <c r="E33">
        <v>2379</v>
      </c>
      <c r="F33">
        <v>87938.4</v>
      </c>
      <c r="G33">
        <v>60.27</v>
      </c>
    </row>
    <row r="34" spans="1:7" x14ac:dyDescent="0.2">
      <c r="A34" t="s">
        <v>362</v>
      </c>
      <c r="B34">
        <v>210461.24</v>
      </c>
      <c r="C34">
        <v>3423</v>
      </c>
      <c r="D34">
        <v>1274</v>
      </c>
      <c r="E34">
        <v>2149</v>
      </c>
      <c r="F34">
        <v>65625.3</v>
      </c>
      <c r="G34">
        <v>61.48</v>
      </c>
    </row>
    <row r="35" spans="1:7" x14ac:dyDescent="0.2">
      <c r="A35" t="s">
        <v>363</v>
      </c>
      <c r="B35">
        <v>202165.28</v>
      </c>
      <c r="C35">
        <v>3157</v>
      </c>
      <c r="D35">
        <v>1142</v>
      </c>
      <c r="E35">
        <v>2015</v>
      </c>
      <c r="F35">
        <v>84634.46</v>
      </c>
      <c r="G35">
        <v>64.040000000000006</v>
      </c>
    </row>
    <row r="36" spans="1:7" x14ac:dyDescent="0.2">
      <c r="A36" t="s">
        <v>364</v>
      </c>
      <c r="B36">
        <v>251766.44</v>
      </c>
      <c r="C36">
        <v>4208</v>
      </c>
      <c r="D36">
        <v>1652</v>
      </c>
      <c r="E36">
        <v>2556</v>
      </c>
      <c r="F36">
        <v>76502.95</v>
      </c>
      <c r="G36">
        <v>59.83</v>
      </c>
    </row>
    <row r="37" spans="1:7" x14ac:dyDescent="0.2">
      <c r="A37" t="s">
        <v>365</v>
      </c>
      <c r="B37">
        <v>258394.07</v>
      </c>
      <c r="C37">
        <v>4341</v>
      </c>
      <c r="D37">
        <v>1527</v>
      </c>
      <c r="E37">
        <v>2814</v>
      </c>
      <c r="F37">
        <v>100631.36</v>
      </c>
      <c r="G37">
        <v>59.52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E1E0-F5A0-CB41-8615-86FC922EF02A}">
  <dimension ref="A7:J62"/>
  <sheetViews>
    <sheetView tabSelected="1" zoomScale="64" workbookViewId="0">
      <selection activeCell="J58" sqref="J58"/>
    </sheetView>
  </sheetViews>
  <sheetFormatPr baseColWidth="10" defaultRowHeight="15" x14ac:dyDescent="0.2"/>
  <cols>
    <col min="1" max="1" width="15.1640625" bestFit="1" customWidth="1"/>
    <col min="2" max="2" width="28.1640625" bestFit="1" customWidth="1"/>
    <col min="3" max="3" width="29.33203125" bestFit="1" customWidth="1"/>
    <col min="4" max="4" width="31.1640625" bestFit="1" customWidth="1"/>
    <col min="5" max="5" width="30.33203125" bestFit="1" customWidth="1"/>
    <col min="6" max="6" width="30" bestFit="1" customWidth="1"/>
    <col min="7" max="7" width="27" bestFit="1" customWidth="1"/>
    <col min="8" max="8" width="18.1640625" bestFit="1" customWidth="1"/>
    <col min="9" max="9" width="15" bestFit="1" customWidth="1"/>
  </cols>
  <sheetData>
    <row r="7" spans="1:9" x14ac:dyDescent="0.2">
      <c r="A7" s="30" t="s">
        <v>469</v>
      </c>
    </row>
    <row r="9" spans="1:9" x14ac:dyDescent="0.2">
      <c r="A9" s="26" t="s">
        <v>440</v>
      </c>
      <c r="B9" s="26" t="s">
        <v>449</v>
      </c>
      <c r="C9" t="s">
        <v>450</v>
      </c>
      <c r="D9" t="s">
        <v>451</v>
      </c>
      <c r="E9" t="s">
        <v>452</v>
      </c>
      <c r="F9" t="s">
        <v>453</v>
      </c>
      <c r="G9" t="s">
        <v>454</v>
      </c>
      <c r="H9" t="s">
        <v>455</v>
      </c>
      <c r="I9" s="30" t="s">
        <v>465</v>
      </c>
    </row>
    <row r="10" spans="1:9" x14ac:dyDescent="0.2">
      <c r="A10" s="27" t="s">
        <v>441</v>
      </c>
      <c r="B10" s="29">
        <v>350.68360000000001</v>
      </c>
      <c r="C10">
        <v>6.88</v>
      </c>
      <c r="D10" s="28">
        <v>50.343199999999989</v>
      </c>
      <c r="E10">
        <v>62.08</v>
      </c>
      <c r="F10" s="33">
        <v>36.788000000000004</v>
      </c>
      <c r="G10" s="33">
        <v>41.815999999999995</v>
      </c>
      <c r="H10">
        <v>25</v>
      </c>
      <c r="I10" s="31">
        <v>0.24</v>
      </c>
    </row>
    <row r="11" spans="1:9" x14ac:dyDescent="0.2">
      <c r="A11" s="27" t="s">
        <v>442</v>
      </c>
      <c r="B11" s="29">
        <v>353.07071428571425</v>
      </c>
      <c r="C11" s="33">
        <v>4.9285714285714288</v>
      </c>
      <c r="D11" s="28">
        <v>72.402857142857144</v>
      </c>
      <c r="E11" s="33">
        <v>25.285714285714285</v>
      </c>
      <c r="F11" s="33">
        <v>17.242857142857144</v>
      </c>
      <c r="G11" s="33">
        <v>55.285714285714278</v>
      </c>
      <c r="H11">
        <v>14</v>
      </c>
      <c r="I11" s="31">
        <v>0.71430000000000005</v>
      </c>
    </row>
    <row r="12" spans="1:9" x14ac:dyDescent="0.2">
      <c r="A12" s="27" t="s">
        <v>443</v>
      </c>
      <c r="B12" s="29">
        <v>539.71142857142843</v>
      </c>
      <c r="C12" s="33">
        <v>7.9857142857142858</v>
      </c>
      <c r="D12" s="28">
        <v>67.608285714285728</v>
      </c>
      <c r="E12" s="33">
        <v>20.042857142857144</v>
      </c>
      <c r="F12" s="33">
        <v>18.621428571428574</v>
      </c>
      <c r="G12" s="33">
        <v>55.638571428571431</v>
      </c>
      <c r="H12">
        <v>70</v>
      </c>
      <c r="I12" s="31">
        <v>0.7</v>
      </c>
    </row>
    <row r="13" spans="1:9" x14ac:dyDescent="0.2">
      <c r="A13" s="27" t="s">
        <v>444</v>
      </c>
      <c r="B13" s="29">
        <v>110.00597014925371</v>
      </c>
      <c r="C13" s="33">
        <v>2.1194029850746268</v>
      </c>
      <c r="D13" s="28">
        <v>52.336716417910445</v>
      </c>
      <c r="E13" s="33">
        <v>132.38805970149255</v>
      </c>
      <c r="F13" s="33">
        <v>21.602985074626865</v>
      </c>
      <c r="G13" s="33">
        <v>25.768656716417912</v>
      </c>
      <c r="H13">
        <v>67</v>
      </c>
      <c r="I13" s="31">
        <v>0.16420000000000001</v>
      </c>
    </row>
    <row r="14" spans="1:9" x14ac:dyDescent="0.2">
      <c r="A14" s="27" t="s">
        <v>445</v>
      </c>
      <c r="B14" s="29">
        <v>407.43971428571439</v>
      </c>
      <c r="C14" s="33">
        <v>7.2571428571428571</v>
      </c>
      <c r="D14" s="28">
        <v>54.487428571428566</v>
      </c>
      <c r="E14" s="33">
        <v>34.085714285714289</v>
      </c>
      <c r="F14" s="33">
        <v>28.739999999999991</v>
      </c>
      <c r="G14" s="33">
        <v>49.362857142857145</v>
      </c>
      <c r="H14">
        <v>35</v>
      </c>
      <c r="I14" s="31">
        <v>0.57140000000000002</v>
      </c>
    </row>
    <row r="15" spans="1:9" x14ac:dyDescent="0.2">
      <c r="A15" s="27" t="s">
        <v>446</v>
      </c>
      <c r="B15" s="29">
        <v>151.1092857142857</v>
      </c>
      <c r="C15" s="33">
        <v>2.5714285714285716</v>
      </c>
      <c r="D15" s="28">
        <v>59.530714285714282</v>
      </c>
      <c r="E15" s="33">
        <v>21.428571428571427</v>
      </c>
      <c r="F15" s="33">
        <v>27.792857142857141</v>
      </c>
      <c r="G15" s="33">
        <v>50.578571428571429</v>
      </c>
      <c r="H15">
        <v>14</v>
      </c>
      <c r="I15" s="31">
        <v>0.35709999999999997</v>
      </c>
    </row>
    <row r="16" spans="1:9" x14ac:dyDescent="0.2">
      <c r="A16" s="27" t="s">
        <v>447</v>
      </c>
      <c r="B16" s="29">
        <v>205.00186666666673</v>
      </c>
      <c r="C16" s="33">
        <v>4.0666666666666664</v>
      </c>
      <c r="D16" s="28">
        <v>51.57279999999998</v>
      </c>
      <c r="E16" s="33">
        <v>54.426666666666669</v>
      </c>
      <c r="F16" s="33">
        <v>32.550666666666672</v>
      </c>
      <c r="G16" s="33">
        <v>40.253333333333337</v>
      </c>
      <c r="H16">
        <v>75</v>
      </c>
      <c r="I16" s="31">
        <v>0.44</v>
      </c>
    </row>
    <row r="17" spans="1:8" x14ac:dyDescent="0.2">
      <c r="A17" s="27" t="s">
        <v>448</v>
      </c>
      <c r="B17" s="28">
        <v>302.03779999999972</v>
      </c>
      <c r="C17" s="33">
        <v>5.1233333333333331</v>
      </c>
      <c r="D17" s="28">
        <v>57.066033333333316</v>
      </c>
      <c r="E17" s="33">
        <v>59.18</v>
      </c>
      <c r="F17" s="33">
        <v>25.827666666666644</v>
      </c>
      <c r="G17" s="33">
        <v>42.984666666666655</v>
      </c>
      <c r="H17">
        <v>300</v>
      </c>
    </row>
    <row r="33" spans="1:10" x14ac:dyDescent="0.2">
      <c r="A33" s="30" t="s">
        <v>470</v>
      </c>
    </row>
    <row r="35" spans="1:10" x14ac:dyDescent="0.2">
      <c r="A35" s="39" t="s">
        <v>455</v>
      </c>
      <c r="B35" s="39" t="s">
        <v>456</v>
      </c>
      <c r="C35" s="39"/>
      <c r="D35" s="39"/>
      <c r="E35" s="39"/>
      <c r="F35" s="39"/>
      <c r="G35" s="39"/>
      <c r="H35" s="39"/>
      <c r="I35" s="39"/>
      <c r="J35" s="41"/>
    </row>
    <row r="36" spans="1:10" x14ac:dyDescent="0.2">
      <c r="A36" s="42" t="s">
        <v>440</v>
      </c>
      <c r="B36" s="42" t="s">
        <v>441</v>
      </c>
      <c r="C36" s="42" t="s">
        <v>442</v>
      </c>
      <c r="D36" s="42" t="s">
        <v>443</v>
      </c>
      <c r="E36" s="42" t="s">
        <v>444</v>
      </c>
      <c r="F36" s="42" t="s">
        <v>445</v>
      </c>
      <c r="G36" s="42" t="s">
        <v>446</v>
      </c>
      <c r="H36" s="42" t="s">
        <v>447</v>
      </c>
      <c r="I36" s="42" t="s">
        <v>448</v>
      </c>
      <c r="J36" s="40" t="s">
        <v>466</v>
      </c>
    </row>
    <row r="37" spans="1:10" x14ac:dyDescent="0.2">
      <c r="A37" s="43" t="s">
        <v>58</v>
      </c>
      <c r="B37" s="41">
        <v>2</v>
      </c>
      <c r="C37" s="41">
        <v>3</v>
      </c>
      <c r="D37" s="41">
        <v>11</v>
      </c>
      <c r="E37" s="41">
        <v>11</v>
      </c>
      <c r="F37" s="41">
        <v>3</v>
      </c>
      <c r="G37" s="41">
        <v>1</v>
      </c>
      <c r="H37" s="41">
        <v>6</v>
      </c>
      <c r="I37" s="41">
        <v>37</v>
      </c>
      <c r="J37" s="44">
        <v>0.29730000000000001</v>
      </c>
    </row>
    <row r="38" spans="1:10" x14ac:dyDescent="0.2">
      <c r="A38" s="43" t="s">
        <v>35</v>
      </c>
      <c r="B38" s="41">
        <v>3</v>
      </c>
      <c r="C38" s="41">
        <v>3</v>
      </c>
      <c r="D38" s="41">
        <v>15</v>
      </c>
      <c r="E38" s="41">
        <v>10</v>
      </c>
      <c r="F38" s="41">
        <v>3</v>
      </c>
      <c r="G38" s="41">
        <v>2</v>
      </c>
      <c r="H38" s="41">
        <v>8</v>
      </c>
      <c r="I38" s="41">
        <v>44</v>
      </c>
      <c r="J38" s="44">
        <v>0.34089999999999998</v>
      </c>
    </row>
    <row r="39" spans="1:10" x14ac:dyDescent="0.2">
      <c r="A39" s="43" t="s">
        <v>32</v>
      </c>
      <c r="B39" s="41">
        <v>9</v>
      </c>
      <c r="C39" s="41">
        <v>2</v>
      </c>
      <c r="D39" s="41">
        <v>13</v>
      </c>
      <c r="E39" s="41">
        <v>15</v>
      </c>
      <c r="F39" s="41">
        <v>4</v>
      </c>
      <c r="G39" s="41">
        <v>2</v>
      </c>
      <c r="H39" s="41">
        <v>10</v>
      </c>
      <c r="I39" s="41">
        <v>55</v>
      </c>
      <c r="J39" s="44">
        <v>0.2364</v>
      </c>
    </row>
    <row r="40" spans="1:10" x14ac:dyDescent="0.2">
      <c r="A40" s="43" t="s">
        <v>23</v>
      </c>
      <c r="B40" s="41">
        <v>3</v>
      </c>
      <c r="C40" s="41">
        <v>4</v>
      </c>
      <c r="D40" s="41">
        <v>14</v>
      </c>
      <c r="E40" s="41">
        <v>10</v>
      </c>
      <c r="F40" s="41">
        <v>9</v>
      </c>
      <c r="G40" s="41">
        <v>3</v>
      </c>
      <c r="H40" s="41">
        <v>16</v>
      </c>
      <c r="I40" s="41">
        <v>59</v>
      </c>
      <c r="J40" s="44">
        <v>0.23730000000000001</v>
      </c>
    </row>
    <row r="41" spans="1:10" x14ac:dyDescent="0.2">
      <c r="A41" s="43" t="s">
        <v>37</v>
      </c>
      <c r="B41" s="41">
        <v>7</v>
      </c>
      <c r="C41" s="41">
        <v>2</v>
      </c>
      <c r="D41" s="41">
        <v>11</v>
      </c>
      <c r="E41" s="41">
        <v>18</v>
      </c>
      <c r="F41" s="41">
        <v>10</v>
      </c>
      <c r="G41" s="41">
        <v>5</v>
      </c>
      <c r="H41" s="41">
        <v>23</v>
      </c>
      <c r="I41" s="41">
        <v>76</v>
      </c>
      <c r="J41" s="44">
        <v>0.1447</v>
      </c>
    </row>
    <row r="42" spans="1:10" x14ac:dyDescent="0.2">
      <c r="A42" s="43" t="s">
        <v>28</v>
      </c>
      <c r="B42" s="41">
        <v>1</v>
      </c>
      <c r="C42" s="41"/>
      <c r="D42" s="41">
        <v>6</v>
      </c>
      <c r="E42" s="41">
        <v>3</v>
      </c>
      <c r="F42" s="41">
        <v>6</v>
      </c>
      <c r="G42" s="41">
        <v>1</v>
      </c>
      <c r="H42" s="41">
        <v>12</v>
      </c>
      <c r="I42" s="41">
        <v>29</v>
      </c>
      <c r="J42" s="44">
        <v>0.2069</v>
      </c>
    </row>
    <row r="43" spans="1:10" x14ac:dyDescent="0.2">
      <c r="A43" s="45" t="s">
        <v>448</v>
      </c>
      <c r="B43" s="46">
        <v>25</v>
      </c>
      <c r="C43" s="46">
        <v>14</v>
      </c>
      <c r="D43" s="46">
        <v>70</v>
      </c>
      <c r="E43" s="46">
        <v>67</v>
      </c>
      <c r="F43" s="46">
        <v>35</v>
      </c>
      <c r="G43" s="46">
        <v>14</v>
      </c>
      <c r="H43" s="46">
        <v>75</v>
      </c>
      <c r="I43" s="46">
        <v>300</v>
      </c>
      <c r="J43" s="41"/>
    </row>
    <row r="45" spans="1:10" x14ac:dyDescent="0.2">
      <c r="A45" s="30" t="s">
        <v>458</v>
      </c>
    </row>
    <row r="46" spans="1:10" x14ac:dyDescent="0.2">
      <c r="A46" t="s">
        <v>459</v>
      </c>
      <c r="B46" s="47" t="s">
        <v>460</v>
      </c>
      <c r="C46" s="47" t="s">
        <v>464</v>
      </c>
    </row>
    <row r="47" spans="1:10" x14ac:dyDescent="0.2">
      <c r="A47" t="s">
        <v>58</v>
      </c>
      <c r="B47" s="33">
        <v>36.465416666666677</v>
      </c>
      <c r="C47" s="28">
        <v>1.9095833333333332</v>
      </c>
    </row>
    <row r="48" spans="1:10" x14ac:dyDescent="0.2">
      <c r="A48" t="s">
        <v>461</v>
      </c>
      <c r="B48">
        <v>0.9900000000000001</v>
      </c>
      <c r="C48" s="28">
        <v>60.415833333333325</v>
      </c>
    </row>
    <row r="49" spans="1:3" x14ac:dyDescent="0.2">
      <c r="A49" t="s">
        <v>462</v>
      </c>
      <c r="B49" s="33">
        <v>33.825833333333335</v>
      </c>
      <c r="C49" s="28">
        <v>1.9774999999999998</v>
      </c>
    </row>
    <row r="50" spans="1:3" x14ac:dyDescent="0.2">
      <c r="A50" t="s">
        <v>23</v>
      </c>
      <c r="B50" s="33">
        <v>1.4704166666666669</v>
      </c>
      <c r="C50" s="28">
        <v>44.092083333333335</v>
      </c>
    </row>
    <row r="51" spans="1:3" x14ac:dyDescent="0.2">
      <c r="A51" t="s">
        <v>37</v>
      </c>
      <c r="B51" s="33">
        <v>1.0654166666666669</v>
      </c>
      <c r="C51" s="28">
        <v>47.853749999999998</v>
      </c>
    </row>
    <row r="53" spans="1:3" x14ac:dyDescent="0.2">
      <c r="A53" s="30" t="s">
        <v>463</v>
      </c>
    </row>
    <row r="54" spans="1:3" x14ac:dyDescent="0.2">
      <c r="A54" t="s">
        <v>342</v>
      </c>
      <c r="B54" s="47" t="s">
        <v>464</v>
      </c>
      <c r="C54" s="47" t="s">
        <v>457</v>
      </c>
    </row>
    <row r="55" spans="1:3" x14ac:dyDescent="0.2">
      <c r="A55" t="s">
        <v>58</v>
      </c>
      <c r="B55" s="28">
        <v>1.91</v>
      </c>
      <c r="C55" s="31">
        <v>0.29729729729729731</v>
      </c>
    </row>
    <row r="56" spans="1:3" x14ac:dyDescent="0.2">
      <c r="A56" t="s">
        <v>35</v>
      </c>
      <c r="B56" s="28">
        <v>60.42</v>
      </c>
      <c r="C56" s="31">
        <v>0.34090909090909088</v>
      </c>
    </row>
    <row r="57" spans="1:3" x14ac:dyDescent="0.2">
      <c r="A57" t="s">
        <v>32</v>
      </c>
      <c r="B57" s="28">
        <v>1.98</v>
      </c>
      <c r="C57" s="31">
        <v>0.23636363636363636</v>
      </c>
    </row>
    <row r="58" spans="1:3" x14ac:dyDescent="0.2">
      <c r="A58" t="s">
        <v>23</v>
      </c>
      <c r="B58" s="28">
        <v>44.09</v>
      </c>
      <c r="C58" s="31">
        <v>0.23728813559322035</v>
      </c>
    </row>
    <row r="59" spans="1:3" x14ac:dyDescent="0.2">
      <c r="A59" t="s">
        <v>37</v>
      </c>
      <c r="B59" s="28">
        <v>47.85</v>
      </c>
      <c r="C59" s="31">
        <v>0.14473684210526316</v>
      </c>
    </row>
    <row r="60" spans="1:3" x14ac:dyDescent="0.2">
      <c r="A60" t="s">
        <v>28</v>
      </c>
      <c r="B60" s="25" t="s">
        <v>467</v>
      </c>
      <c r="C60" s="31">
        <v>0.20689655172413793</v>
      </c>
    </row>
    <row r="62" spans="1:3" x14ac:dyDescent="0.2">
      <c r="A62" t="s">
        <v>468</v>
      </c>
    </row>
  </sheetData>
  <pageMargins left="0.7" right="0.7" top="0.75" bottom="0.75" header="0.3" footer="0.3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F237-7A86-B047-BAB7-2212678AB47C}">
  <dimension ref="A1:S301"/>
  <sheetViews>
    <sheetView zoomScale="75" workbookViewId="0">
      <selection activeCell="G24" sqref="G24"/>
    </sheetView>
  </sheetViews>
  <sheetFormatPr baseColWidth="10" defaultColWidth="8.83203125" defaultRowHeight="15" x14ac:dyDescent="0.2"/>
  <cols>
    <col min="1" max="1" width="14" bestFit="1" customWidth="1"/>
    <col min="2" max="2" width="21.6640625" bestFit="1" customWidth="1"/>
    <col min="3" max="3" width="24.6640625" bestFit="1" customWidth="1"/>
    <col min="4" max="4" width="26" bestFit="1" customWidth="1"/>
    <col min="5" max="5" width="28.33203125" bestFit="1" customWidth="1"/>
    <col min="6" max="6" width="28.1640625" bestFit="1" customWidth="1"/>
    <col min="7" max="7" width="27.5" bestFit="1" customWidth="1"/>
    <col min="8" max="8" width="28.6640625" bestFit="1" customWidth="1"/>
    <col min="9" max="9" width="21.5" bestFit="1" customWidth="1"/>
    <col min="10" max="10" width="31.33203125" bestFit="1" customWidth="1"/>
    <col min="11" max="11" width="23" bestFit="1" customWidth="1"/>
    <col min="12" max="12" width="22" bestFit="1" customWidth="1"/>
    <col min="13" max="13" width="9" bestFit="1" customWidth="1"/>
    <col min="14" max="14" width="11.1640625" bestFit="1" customWidth="1"/>
    <col min="18" max="18" width="11" style="25" customWidth="1"/>
    <col min="19" max="19" width="14.6640625" customWidth="1"/>
  </cols>
  <sheetData>
    <row r="1" spans="1:19" s="20" customFormat="1" ht="19" x14ac:dyDescent="0.25">
      <c r="A1" s="19" t="s">
        <v>8</v>
      </c>
      <c r="B1" s="19" t="s">
        <v>9</v>
      </c>
      <c r="C1" s="19" t="s">
        <v>10</v>
      </c>
      <c r="D1" s="19" t="s">
        <v>11</v>
      </c>
      <c r="E1" s="19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19" t="s">
        <v>18</v>
      </c>
      <c r="L1" s="19" t="s">
        <v>19</v>
      </c>
      <c r="M1" s="19" t="s">
        <v>20</v>
      </c>
      <c r="N1" s="19" t="s">
        <v>21</v>
      </c>
      <c r="O1" s="23"/>
      <c r="P1" s="23"/>
      <c r="Q1" s="23"/>
      <c r="R1" s="24"/>
      <c r="S1" s="23"/>
    </row>
    <row r="2" spans="1:19" x14ac:dyDescent="0.2">
      <c r="A2" t="s">
        <v>22</v>
      </c>
      <c r="B2" t="s">
        <v>23</v>
      </c>
      <c r="C2">
        <v>749.71</v>
      </c>
      <c r="D2">
        <v>11</v>
      </c>
      <c r="E2">
        <v>71.34</v>
      </c>
      <c r="F2">
        <v>46</v>
      </c>
      <c r="G2">
        <v>8.6999999999999993</v>
      </c>
      <c r="H2">
        <v>2</v>
      </c>
      <c r="I2" t="s">
        <v>24</v>
      </c>
      <c r="J2">
        <v>3</v>
      </c>
      <c r="K2">
        <v>63.8</v>
      </c>
      <c r="L2">
        <v>20.9</v>
      </c>
      <c r="M2" t="s">
        <v>25</v>
      </c>
      <c r="N2" t="s">
        <v>26</v>
      </c>
    </row>
    <row r="3" spans="1:19" x14ac:dyDescent="0.2">
      <c r="A3" t="s">
        <v>27</v>
      </c>
      <c r="B3" t="s">
        <v>28</v>
      </c>
      <c r="C3">
        <v>511.7</v>
      </c>
      <c r="D3">
        <v>8</v>
      </c>
      <c r="E3">
        <v>66.36</v>
      </c>
      <c r="F3">
        <v>34</v>
      </c>
      <c r="G3">
        <v>4.3</v>
      </c>
      <c r="H3">
        <v>4</v>
      </c>
      <c r="I3" t="s">
        <v>24</v>
      </c>
      <c r="J3">
        <v>11</v>
      </c>
      <c r="K3">
        <v>41.3</v>
      </c>
      <c r="L3">
        <v>24.3</v>
      </c>
      <c r="M3" t="s">
        <v>29</v>
      </c>
      <c r="N3" t="s">
        <v>30</v>
      </c>
    </row>
    <row r="4" spans="1:19" x14ac:dyDescent="0.2">
      <c r="A4" t="s">
        <v>31</v>
      </c>
      <c r="B4" t="s">
        <v>32</v>
      </c>
      <c r="C4">
        <v>494.82</v>
      </c>
      <c r="D4">
        <v>7</v>
      </c>
      <c r="E4">
        <v>74.430000000000007</v>
      </c>
      <c r="F4">
        <v>28</v>
      </c>
      <c r="G4">
        <v>10.6</v>
      </c>
      <c r="H4">
        <v>2</v>
      </c>
      <c r="I4" t="s">
        <v>33</v>
      </c>
      <c r="J4">
        <v>0</v>
      </c>
      <c r="K4">
        <v>73.3</v>
      </c>
      <c r="L4">
        <v>18.5</v>
      </c>
      <c r="M4" t="s">
        <v>25</v>
      </c>
      <c r="N4" t="s">
        <v>30</v>
      </c>
    </row>
    <row r="5" spans="1:19" x14ac:dyDescent="0.2">
      <c r="A5" t="s">
        <v>34</v>
      </c>
      <c r="B5" t="s">
        <v>35</v>
      </c>
      <c r="C5">
        <v>109.38</v>
      </c>
      <c r="D5">
        <v>2</v>
      </c>
      <c r="E5">
        <v>59.11</v>
      </c>
      <c r="F5">
        <v>165</v>
      </c>
      <c r="G5">
        <v>26.6</v>
      </c>
      <c r="H5">
        <v>2</v>
      </c>
      <c r="I5" t="s">
        <v>33</v>
      </c>
      <c r="J5">
        <v>0</v>
      </c>
      <c r="K5">
        <v>14.4</v>
      </c>
      <c r="L5">
        <v>6</v>
      </c>
      <c r="M5" t="s">
        <v>25</v>
      </c>
      <c r="N5" t="s">
        <v>30</v>
      </c>
    </row>
    <row r="6" spans="1:19" x14ac:dyDescent="0.2">
      <c r="A6" t="s">
        <v>36</v>
      </c>
      <c r="B6" t="s">
        <v>37</v>
      </c>
      <c r="C6">
        <v>289.77999999999997</v>
      </c>
      <c r="D6">
        <v>6</v>
      </c>
      <c r="E6">
        <v>47.67</v>
      </c>
      <c r="F6">
        <v>68</v>
      </c>
      <c r="G6">
        <v>46.9</v>
      </c>
      <c r="H6">
        <v>2</v>
      </c>
      <c r="I6" t="s">
        <v>24</v>
      </c>
      <c r="J6">
        <v>11</v>
      </c>
      <c r="K6">
        <v>30.6</v>
      </c>
      <c r="L6">
        <v>9.9</v>
      </c>
      <c r="M6" t="s">
        <v>25</v>
      </c>
      <c r="N6" t="s">
        <v>30</v>
      </c>
    </row>
    <row r="7" spans="1:19" x14ac:dyDescent="0.2">
      <c r="A7" t="s">
        <v>38</v>
      </c>
      <c r="B7" t="s">
        <v>37</v>
      </c>
      <c r="C7">
        <v>330.78</v>
      </c>
      <c r="D7">
        <v>6</v>
      </c>
      <c r="E7">
        <v>52.13</v>
      </c>
      <c r="F7">
        <v>2</v>
      </c>
      <c r="G7">
        <v>21.5</v>
      </c>
      <c r="H7">
        <v>4</v>
      </c>
      <c r="I7" t="s">
        <v>33</v>
      </c>
      <c r="J7">
        <v>0</v>
      </c>
      <c r="K7">
        <v>23.8</v>
      </c>
      <c r="L7">
        <v>18.100000000000001</v>
      </c>
      <c r="M7" t="s">
        <v>39</v>
      </c>
      <c r="N7" t="s">
        <v>40</v>
      </c>
    </row>
    <row r="8" spans="1:19" x14ac:dyDescent="0.2">
      <c r="A8" t="s">
        <v>41</v>
      </c>
      <c r="B8" t="s">
        <v>37</v>
      </c>
      <c r="C8">
        <v>90.86</v>
      </c>
      <c r="D8">
        <v>2</v>
      </c>
      <c r="E8">
        <v>49.3</v>
      </c>
      <c r="F8">
        <v>34</v>
      </c>
      <c r="G8">
        <v>25.5</v>
      </c>
      <c r="H8">
        <v>3</v>
      </c>
      <c r="I8" t="s">
        <v>33</v>
      </c>
      <c r="J8">
        <v>0</v>
      </c>
      <c r="K8">
        <v>53.2</v>
      </c>
      <c r="L8">
        <v>21.9</v>
      </c>
      <c r="M8" t="s">
        <v>25</v>
      </c>
      <c r="N8" t="s">
        <v>30</v>
      </c>
    </row>
    <row r="9" spans="1:19" x14ac:dyDescent="0.2">
      <c r="A9" t="s">
        <v>42</v>
      </c>
      <c r="B9" t="s">
        <v>32</v>
      </c>
      <c r="C9">
        <v>146.61000000000001</v>
      </c>
      <c r="D9">
        <v>6</v>
      </c>
      <c r="E9">
        <v>25.67</v>
      </c>
      <c r="F9">
        <v>26</v>
      </c>
      <c r="G9">
        <v>45</v>
      </c>
      <c r="H9">
        <v>1</v>
      </c>
      <c r="I9" t="s">
        <v>33</v>
      </c>
      <c r="J9">
        <v>0</v>
      </c>
      <c r="K9">
        <v>35.200000000000003</v>
      </c>
      <c r="L9">
        <v>14</v>
      </c>
      <c r="M9" t="s">
        <v>29</v>
      </c>
      <c r="N9" t="s">
        <v>43</v>
      </c>
    </row>
    <row r="10" spans="1:19" x14ac:dyDescent="0.2">
      <c r="A10" t="s">
        <v>44</v>
      </c>
      <c r="B10" t="s">
        <v>35</v>
      </c>
      <c r="C10">
        <v>812.93</v>
      </c>
      <c r="D10">
        <v>9</v>
      </c>
      <c r="E10">
        <v>85.99</v>
      </c>
      <c r="F10">
        <v>24</v>
      </c>
      <c r="G10">
        <v>17.5</v>
      </c>
      <c r="H10">
        <v>3</v>
      </c>
      <c r="I10" t="s">
        <v>24</v>
      </c>
      <c r="J10">
        <v>13</v>
      </c>
      <c r="K10">
        <v>64.2</v>
      </c>
      <c r="L10">
        <v>13.1</v>
      </c>
      <c r="M10" t="s">
        <v>39</v>
      </c>
      <c r="N10" t="s">
        <v>45</v>
      </c>
    </row>
    <row r="11" spans="1:19" x14ac:dyDescent="0.2">
      <c r="A11" t="s">
        <v>46</v>
      </c>
      <c r="B11" t="s">
        <v>35</v>
      </c>
      <c r="C11">
        <v>390.75</v>
      </c>
      <c r="D11">
        <v>8</v>
      </c>
      <c r="E11">
        <v>52.54</v>
      </c>
      <c r="F11">
        <v>81</v>
      </c>
      <c r="G11">
        <v>50.4</v>
      </c>
      <c r="H11">
        <v>2</v>
      </c>
      <c r="I11" t="s">
        <v>33</v>
      </c>
      <c r="J11">
        <v>0</v>
      </c>
      <c r="K11">
        <v>34.299999999999997</v>
      </c>
      <c r="L11">
        <v>10.8</v>
      </c>
      <c r="M11" t="s">
        <v>47</v>
      </c>
      <c r="N11" t="s">
        <v>43</v>
      </c>
    </row>
    <row r="12" spans="1:19" x14ac:dyDescent="0.2">
      <c r="A12" t="s">
        <v>48</v>
      </c>
      <c r="B12" t="s">
        <v>37</v>
      </c>
      <c r="C12">
        <v>101.84</v>
      </c>
      <c r="D12">
        <v>2</v>
      </c>
      <c r="E12">
        <v>49.19</v>
      </c>
      <c r="F12">
        <v>159</v>
      </c>
      <c r="G12">
        <v>18.8</v>
      </c>
      <c r="H12">
        <v>2</v>
      </c>
      <c r="I12" t="s">
        <v>33</v>
      </c>
      <c r="J12">
        <v>0</v>
      </c>
      <c r="K12">
        <v>17.399999999999999</v>
      </c>
      <c r="L12">
        <v>13.9</v>
      </c>
      <c r="M12" t="s">
        <v>25</v>
      </c>
      <c r="N12" t="s">
        <v>43</v>
      </c>
    </row>
    <row r="13" spans="1:19" x14ac:dyDescent="0.2">
      <c r="A13" t="s">
        <v>49</v>
      </c>
      <c r="B13" t="s">
        <v>28</v>
      </c>
      <c r="C13">
        <v>209</v>
      </c>
      <c r="D13">
        <v>5</v>
      </c>
      <c r="E13">
        <v>42.3</v>
      </c>
      <c r="F13">
        <v>52</v>
      </c>
      <c r="G13">
        <v>49.4</v>
      </c>
      <c r="H13">
        <v>1</v>
      </c>
      <c r="I13" t="s">
        <v>24</v>
      </c>
      <c r="J13">
        <v>9</v>
      </c>
      <c r="K13">
        <v>36.9</v>
      </c>
      <c r="L13">
        <v>13.7</v>
      </c>
      <c r="M13" t="s">
        <v>47</v>
      </c>
      <c r="N13" t="s">
        <v>26</v>
      </c>
    </row>
    <row r="14" spans="1:19" x14ac:dyDescent="0.2">
      <c r="A14" t="s">
        <v>50</v>
      </c>
      <c r="B14" t="s">
        <v>32</v>
      </c>
      <c r="C14">
        <v>128.09</v>
      </c>
      <c r="D14">
        <v>3</v>
      </c>
      <c r="E14">
        <v>40.29</v>
      </c>
      <c r="F14">
        <v>150</v>
      </c>
      <c r="G14">
        <v>7.4</v>
      </c>
      <c r="H14">
        <v>3</v>
      </c>
      <c r="I14" t="s">
        <v>33</v>
      </c>
      <c r="J14">
        <v>0</v>
      </c>
      <c r="K14">
        <v>21.2</v>
      </c>
      <c r="L14">
        <v>10.3</v>
      </c>
      <c r="M14" t="s">
        <v>47</v>
      </c>
      <c r="N14" t="s">
        <v>26</v>
      </c>
    </row>
    <row r="15" spans="1:19" x14ac:dyDescent="0.2">
      <c r="A15" t="s">
        <v>51</v>
      </c>
      <c r="B15" t="s">
        <v>37</v>
      </c>
      <c r="C15">
        <v>261.39999999999998</v>
      </c>
      <c r="D15">
        <v>5</v>
      </c>
      <c r="E15">
        <v>49.07</v>
      </c>
      <c r="F15">
        <v>8</v>
      </c>
      <c r="G15">
        <v>55.8</v>
      </c>
      <c r="H15">
        <v>4</v>
      </c>
      <c r="I15" t="s">
        <v>33</v>
      </c>
      <c r="J15">
        <v>0</v>
      </c>
      <c r="K15">
        <v>51.8</v>
      </c>
      <c r="L15">
        <v>11.6</v>
      </c>
      <c r="M15" t="s">
        <v>25</v>
      </c>
      <c r="N15" t="s">
        <v>40</v>
      </c>
    </row>
    <row r="16" spans="1:19" x14ac:dyDescent="0.2">
      <c r="A16" t="s">
        <v>52</v>
      </c>
      <c r="B16" t="s">
        <v>37</v>
      </c>
      <c r="C16">
        <v>97.02</v>
      </c>
      <c r="D16">
        <v>2</v>
      </c>
      <c r="E16">
        <v>48.4</v>
      </c>
      <c r="F16">
        <v>138</v>
      </c>
      <c r="G16">
        <v>15.3</v>
      </c>
      <c r="H16">
        <v>3</v>
      </c>
      <c r="I16" t="s">
        <v>33</v>
      </c>
      <c r="J16">
        <v>0</v>
      </c>
      <c r="K16">
        <v>20.7</v>
      </c>
      <c r="L16">
        <v>8.1999999999999993</v>
      </c>
      <c r="M16" t="s">
        <v>53</v>
      </c>
      <c r="N16" t="s">
        <v>45</v>
      </c>
    </row>
    <row r="17" spans="1:14" x14ac:dyDescent="0.2">
      <c r="A17" t="s">
        <v>54</v>
      </c>
      <c r="B17" t="s">
        <v>37</v>
      </c>
      <c r="C17">
        <v>209.33</v>
      </c>
      <c r="D17">
        <v>8</v>
      </c>
      <c r="E17">
        <v>28.08</v>
      </c>
      <c r="F17">
        <v>17</v>
      </c>
      <c r="G17">
        <v>43.7</v>
      </c>
      <c r="H17">
        <v>1</v>
      </c>
      <c r="I17" t="s">
        <v>33</v>
      </c>
      <c r="J17">
        <v>0</v>
      </c>
      <c r="K17">
        <v>49.6</v>
      </c>
      <c r="L17">
        <v>3.8</v>
      </c>
      <c r="M17" t="s">
        <v>55</v>
      </c>
      <c r="N17" t="s">
        <v>30</v>
      </c>
    </row>
    <row r="18" spans="1:14" x14ac:dyDescent="0.2">
      <c r="A18" t="s">
        <v>56</v>
      </c>
      <c r="B18" t="s">
        <v>23</v>
      </c>
      <c r="C18">
        <v>220.12</v>
      </c>
      <c r="D18">
        <v>5</v>
      </c>
      <c r="E18">
        <v>42.61</v>
      </c>
      <c r="F18">
        <v>59</v>
      </c>
      <c r="G18">
        <v>32.6</v>
      </c>
      <c r="H18">
        <v>2</v>
      </c>
      <c r="I18" t="s">
        <v>33</v>
      </c>
      <c r="J18">
        <v>0</v>
      </c>
      <c r="K18">
        <v>44.5</v>
      </c>
      <c r="L18">
        <v>4.4000000000000004</v>
      </c>
      <c r="M18" t="s">
        <v>25</v>
      </c>
      <c r="N18" t="s">
        <v>43</v>
      </c>
    </row>
    <row r="19" spans="1:14" x14ac:dyDescent="0.2">
      <c r="A19" t="s">
        <v>57</v>
      </c>
      <c r="B19" t="s">
        <v>58</v>
      </c>
      <c r="C19">
        <v>205.8</v>
      </c>
      <c r="D19">
        <v>4</v>
      </c>
      <c r="E19">
        <v>54.86</v>
      </c>
      <c r="F19">
        <v>72</v>
      </c>
      <c r="G19">
        <v>22.8</v>
      </c>
      <c r="H19">
        <v>5</v>
      </c>
      <c r="I19" t="s">
        <v>33</v>
      </c>
      <c r="J19">
        <v>0</v>
      </c>
      <c r="K19">
        <v>52.3</v>
      </c>
      <c r="L19">
        <v>11.5</v>
      </c>
      <c r="M19" t="s">
        <v>29</v>
      </c>
      <c r="N19" t="s">
        <v>43</v>
      </c>
    </row>
    <row r="20" spans="1:14" x14ac:dyDescent="0.2">
      <c r="A20" t="s">
        <v>59</v>
      </c>
      <c r="B20" t="s">
        <v>23</v>
      </c>
      <c r="C20">
        <v>287.11</v>
      </c>
      <c r="D20">
        <v>5</v>
      </c>
      <c r="E20">
        <v>57.36</v>
      </c>
      <c r="F20">
        <v>48</v>
      </c>
      <c r="G20">
        <v>25.6</v>
      </c>
      <c r="H20">
        <v>5</v>
      </c>
      <c r="I20" t="s">
        <v>24</v>
      </c>
      <c r="J20">
        <v>7</v>
      </c>
      <c r="K20">
        <v>37.700000000000003</v>
      </c>
      <c r="L20">
        <v>12.1</v>
      </c>
      <c r="M20" t="s">
        <v>47</v>
      </c>
      <c r="N20" t="s">
        <v>26</v>
      </c>
    </row>
    <row r="21" spans="1:14" x14ac:dyDescent="0.2">
      <c r="A21" t="s">
        <v>60</v>
      </c>
      <c r="B21" t="s">
        <v>23</v>
      </c>
      <c r="C21">
        <v>667.32</v>
      </c>
      <c r="D21">
        <v>8</v>
      </c>
      <c r="E21">
        <v>81.16</v>
      </c>
      <c r="F21">
        <v>35</v>
      </c>
      <c r="G21">
        <v>14.1</v>
      </c>
      <c r="H21">
        <v>1</v>
      </c>
      <c r="I21" t="s">
        <v>24</v>
      </c>
      <c r="J21">
        <v>8</v>
      </c>
      <c r="K21">
        <v>60.8</v>
      </c>
      <c r="L21">
        <v>11.3</v>
      </c>
      <c r="M21" t="s">
        <v>47</v>
      </c>
      <c r="N21" t="s">
        <v>43</v>
      </c>
    </row>
    <row r="22" spans="1:14" x14ac:dyDescent="0.2">
      <c r="A22" t="s">
        <v>61</v>
      </c>
      <c r="B22" t="s">
        <v>35</v>
      </c>
      <c r="C22">
        <v>320.24</v>
      </c>
      <c r="D22">
        <v>6</v>
      </c>
      <c r="E22">
        <v>52.39</v>
      </c>
      <c r="F22">
        <v>31</v>
      </c>
      <c r="G22">
        <v>45.1</v>
      </c>
      <c r="H22">
        <v>5</v>
      </c>
      <c r="I22" t="s">
        <v>33</v>
      </c>
      <c r="J22">
        <v>0</v>
      </c>
      <c r="K22">
        <v>47.7</v>
      </c>
      <c r="L22">
        <v>23</v>
      </c>
      <c r="M22" t="s">
        <v>25</v>
      </c>
      <c r="N22" t="s">
        <v>30</v>
      </c>
    </row>
    <row r="23" spans="1:14" x14ac:dyDescent="0.2">
      <c r="A23" t="s">
        <v>62</v>
      </c>
      <c r="B23" t="s">
        <v>37</v>
      </c>
      <c r="C23">
        <v>310.07</v>
      </c>
      <c r="D23">
        <v>6</v>
      </c>
      <c r="E23">
        <v>50.41</v>
      </c>
      <c r="F23">
        <v>63</v>
      </c>
      <c r="G23">
        <v>61.3</v>
      </c>
      <c r="H23">
        <v>3</v>
      </c>
      <c r="I23" t="s">
        <v>33</v>
      </c>
      <c r="J23">
        <v>0</v>
      </c>
      <c r="K23">
        <v>26.6</v>
      </c>
      <c r="L23">
        <v>6.9</v>
      </c>
      <c r="M23" t="s">
        <v>25</v>
      </c>
      <c r="N23" t="s">
        <v>30</v>
      </c>
    </row>
    <row r="24" spans="1:14" x14ac:dyDescent="0.2">
      <c r="A24" t="s">
        <v>63</v>
      </c>
      <c r="B24" t="s">
        <v>23</v>
      </c>
      <c r="C24">
        <v>282.70999999999998</v>
      </c>
      <c r="D24">
        <v>5</v>
      </c>
      <c r="E24">
        <v>57.42</v>
      </c>
      <c r="F24">
        <v>40</v>
      </c>
      <c r="G24">
        <v>29.3</v>
      </c>
      <c r="H24">
        <v>5</v>
      </c>
      <c r="I24" t="s">
        <v>33</v>
      </c>
      <c r="J24">
        <v>0</v>
      </c>
      <c r="K24">
        <v>53.6</v>
      </c>
      <c r="L24">
        <v>14.8</v>
      </c>
      <c r="M24" t="s">
        <v>29</v>
      </c>
      <c r="N24" t="s">
        <v>30</v>
      </c>
    </row>
    <row r="25" spans="1:14" x14ac:dyDescent="0.2">
      <c r="A25" t="s">
        <v>64</v>
      </c>
      <c r="B25" t="s">
        <v>23</v>
      </c>
      <c r="C25">
        <v>302.67</v>
      </c>
      <c r="D25">
        <v>7</v>
      </c>
      <c r="E25">
        <v>46.95</v>
      </c>
      <c r="F25">
        <v>47</v>
      </c>
      <c r="G25">
        <v>32</v>
      </c>
      <c r="H25">
        <v>4</v>
      </c>
      <c r="I25" t="s">
        <v>33</v>
      </c>
      <c r="J25">
        <v>0</v>
      </c>
      <c r="K25">
        <v>61.8</v>
      </c>
      <c r="L25">
        <v>13.6</v>
      </c>
      <c r="M25" t="s">
        <v>39</v>
      </c>
      <c r="N25" t="s">
        <v>43</v>
      </c>
    </row>
    <row r="26" spans="1:14" x14ac:dyDescent="0.2">
      <c r="A26" t="s">
        <v>65</v>
      </c>
      <c r="B26" t="s">
        <v>58</v>
      </c>
      <c r="C26">
        <v>97.67</v>
      </c>
      <c r="D26">
        <v>3</v>
      </c>
      <c r="E26">
        <v>33.229999999999997</v>
      </c>
      <c r="F26">
        <v>71</v>
      </c>
      <c r="G26">
        <v>30.7</v>
      </c>
      <c r="H26">
        <v>2</v>
      </c>
      <c r="I26" t="s">
        <v>33</v>
      </c>
      <c r="J26">
        <v>0</v>
      </c>
      <c r="K26">
        <v>22.5</v>
      </c>
      <c r="L26">
        <v>8.8000000000000007</v>
      </c>
      <c r="M26" t="s">
        <v>47</v>
      </c>
      <c r="N26" t="s">
        <v>40</v>
      </c>
    </row>
    <row r="27" spans="1:14" x14ac:dyDescent="0.2">
      <c r="A27" t="s">
        <v>66</v>
      </c>
      <c r="B27" t="s">
        <v>32</v>
      </c>
      <c r="C27">
        <v>880.14</v>
      </c>
      <c r="D27">
        <v>11</v>
      </c>
      <c r="E27">
        <v>82.1</v>
      </c>
      <c r="F27">
        <v>51</v>
      </c>
      <c r="G27">
        <v>7.9</v>
      </c>
      <c r="H27">
        <v>4</v>
      </c>
      <c r="I27" t="s">
        <v>24</v>
      </c>
      <c r="J27">
        <v>10</v>
      </c>
      <c r="K27">
        <v>50.5</v>
      </c>
      <c r="L27">
        <v>15.9</v>
      </c>
      <c r="M27" t="s">
        <v>29</v>
      </c>
      <c r="N27" t="s">
        <v>30</v>
      </c>
    </row>
    <row r="28" spans="1:14" x14ac:dyDescent="0.2">
      <c r="A28" t="s">
        <v>67</v>
      </c>
      <c r="B28" t="s">
        <v>37</v>
      </c>
      <c r="C28">
        <v>92.42</v>
      </c>
      <c r="D28">
        <v>3</v>
      </c>
      <c r="E28">
        <v>28.84</v>
      </c>
      <c r="F28">
        <v>88</v>
      </c>
      <c r="G28">
        <v>60.3</v>
      </c>
      <c r="H28">
        <v>4</v>
      </c>
      <c r="I28" t="s">
        <v>33</v>
      </c>
      <c r="J28">
        <v>0</v>
      </c>
      <c r="K28">
        <v>43.6</v>
      </c>
      <c r="L28">
        <v>9</v>
      </c>
      <c r="M28" t="s">
        <v>39</v>
      </c>
      <c r="N28" t="s">
        <v>30</v>
      </c>
    </row>
    <row r="29" spans="1:14" x14ac:dyDescent="0.2">
      <c r="A29" t="s">
        <v>68</v>
      </c>
      <c r="B29" t="s">
        <v>58</v>
      </c>
      <c r="C29">
        <v>138.72</v>
      </c>
      <c r="D29">
        <v>3</v>
      </c>
      <c r="E29">
        <v>45.95</v>
      </c>
      <c r="F29">
        <v>63</v>
      </c>
      <c r="G29">
        <v>19.2</v>
      </c>
      <c r="H29">
        <v>1</v>
      </c>
      <c r="I29" t="s">
        <v>33</v>
      </c>
      <c r="J29">
        <v>0</v>
      </c>
      <c r="K29">
        <v>29.8</v>
      </c>
      <c r="L29">
        <v>3.1</v>
      </c>
      <c r="M29" t="s">
        <v>47</v>
      </c>
      <c r="N29" t="s">
        <v>30</v>
      </c>
    </row>
    <row r="30" spans="1:14" x14ac:dyDescent="0.2">
      <c r="A30" t="s">
        <v>69</v>
      </c>
      <c r="B30" t="s">
        <v>35</v>
      </c>
      <c r="C30">
        <v>108.9</v>
      </c>
      <c r="D30">
        <v>3</v>
      </c>
      <c r="E30">
        <v>36.15</v>
      </c>
      <c r="F30">
        <v>182</v>
      </c>
      <c r="G30">
        <v>12.1</v>
      </c>
      <c r="H30">
        <v>1</v>
      </c>
      <c r="I30" t="s">
        <v>33</v>
      </c>
      <c r="J30">
        <v>0</v>
      </c>
      <c r="K30">
        <v>20.2</v>
      </c>
      <c r="L30">
        <v>2.1</v>
      </c>
      <c r="M30" t="s">
        <v>25</v>
      </c>
      <c r="N30" t="s">
        <v>43</v>
      </c>
    </row>
    <row r="31" spans="1:14" x14ac:dyDescent="0.2">
      <c r="A31" t="s">
        <v>70</v>
      </c>
      <c r="B31" t="s">
        <v>37</v>
      </c>
      <c r="C31">
        <v>598.65</v>
      </c>
      <c r="D31">
        <v>9</v>
      </c>
      <c r="E31">
        <v>65.989999999999995</v>
      </c>
      <c r="F31">
        <v>4</v>
      </c>
      <c r="G31">
        <v>13.9</v>
      </c>
      <c r="H31">
        <v>4</v>
      </c>
      <c r="I31" t="s">
        <v>33</v>
      </c>
      <c r="J31">
        <v>0</v>
      </c>
      <c r="K31">
        <v>72.8</v>
      </c>
      <c r="L31">
        <v>15.6</v>
      </c>
      <c r="M31" t="s">
        <v>29</v>
      </c>
      <c r="N31" t="s">
        <v>43</v>
      </c>
    </row>
    <row r="32" spans="1:14" x14ac:dyDescent="0.2">
      <c r="A32" t="s">
        <v>71</v>
      </c>
      <c r="B32" t="s">
        <v>35</v>
      </c>
      <c r="C32">
        <v>533.94000000000005</v>
      </c>
      <c r="D32">
        <v>8</v>
      </c>
      <c r="E32">
        <v>67.709999999999994</v>
      </c>
      <c r="F32">
        <v>30</v>
      </c>
      <c r="G32">
        <v>12.7</v>
      </c>
      <c r="H32">
        <v>4</v>
      </c>
      <c r="I32" t="s">
        <v>24</v>
      </c>
      <c r="J32">
        <v>12</v>
      </c>
      <c r="K32">
        <v>62</v>
      </c>
      <c r="L32">
        <v>9.5</v>
      </c>
      <c r="M32" t="s">
        <v>47</v>
      </c>
      <c r="N32" t="s">
        <v>43</v>
      </c>
    </row>
    <row r="33" spans="1:14" x14ac:dyDescent="0.2">
      <c r="A33" t="s">
        <v>72</v>
      </c>
      <c r="B33" t="s">
        <v>37</v>
      </c>
      <c r="C33">
        <v>102.73</v>
      </c>
      <c r="D33">
        <v>2</v>
      </c>
      <c r="E33">
        <v>51.76</v>
      </c>
      <c r="F33">
        <v>51</v>
      </c>
      <c r="G33">
        <v>18.8</v>
      </c>
      <c r="H33">
        <v>4</v>
      </c>
      <c r="I33" t="s">
        <v>33</v>
      </c>
      <c r="J33">
        <v>0</v>
      </c>
      <c r="K33">
        <v>60.5</v>
      </c>
      <c r="L33">
        <v>14.2</v>
      </c>
      <c r="M33" t="s">
        <v>53</v>
      </c>
      <c r="N33" t="s">
        <v>45</v>
      </c>
    </row>
    <row r="34" spans="1:14" x14ac:dyDescent="0.2">
      <c r="A34" t="s">
        <v>73</v>
      </c>
      <c r="B34" t="s">
        <v>37</v>
      </c>
      <c r="C34">
        <v>139.46</v>
      </c>
      <c r="D34">
        <v>3</v>
      </c>
      <c r="E34">
        <v>47.31</v>
      </c>
      <c r="F34">
        <v>46</v>
      </c>
      <c r="G34">
        <v>29.1</v>
      </c>
      <c r="H34">
        <v>5</v>
      </c>
      <c r="I34" t="s">
        <v>24</v>
      </c>
      <c r="J34">
        <v>11</v>
      </c>
      <c r="K34">
        <v>64.2</v>
      </c>
      <c r="L34">
        <v>5.3</v>
      </c>
      <c r="M34" t="s">
        <v>39</v>
      </c>
      <c r="N34" t="s">
        <v>26</v>
      </c>
    </row>
    <row r="35" spans="1:14" x14ac:dyDescent="0.2">
      <c r="A35" t="s">
        <v>74</v>
      </c>
      <c r="B35" t="s">
        <v>28</v>
      </c>
      <c r="C35">
        <v>267.24</v>
      </c>
      <c r="D35">
        <v>6</v>
      </c>
      <c r="E35">
        <v>41.29</v>
      </c>
      <c r="F35">
        <v>23</v>
      </c>
      <c r="G35">
        <v>79</v>
      </c>
      <c r="H35">
        <v>4</v>
      </c>
      <c r="I35" t="s">
        <v>33</v>
      </c>
      <c r="J35">
        <v>0</v>
      </c>
      <c r="K35">
        <v>47.8</v>
      </c>
      <c r="L35">
        <v>14.4</v>
      </c>
      <c r="M35" t="s">
        <v>39</v>
      </c>
      <c r="N35" t="s">
        <v>26</v>
      </c>
    </row>
    <row r="36" spans="1:14" x14ac:dyDescent="0.2">
      <c r="A36" t="s">
        <v>75</v>
      </c>
      <c r="B36" t="s">
        <v>28</v>
      </c>
      <c r="C36">
        <v>796.98</v>
      </c>
      <c r="D36">
        <v>9</v>
      </c>
      <c r="E36">
        <v>88.28</v>
      </c>
      <c r="F36">
        <v>21</v>
      </c>
      <c r="G36">
        <v>9.6999999999999993</v>
      </c>
      <c r="H36">
        <v>3</v>
      </c>
      <c r="I36" t="s">
        <v>24</v>
      </c>
      <c r="J36">
        <v>7</v>
      </c>
      <c r="K36">
        <v>49</v>
      </c>
      <c r="L36">
        <v>15</v>
      </c>
      <c r="M36" t="s">
        <v>25</v>
      </c>
      <c r="N36" t="s">
        <v>26</v>
      </c>
    </row>
    <row r="37" spans="1:14" x14ac:dyDescent="0.2">
      <c r="A37" t="s">
        <v>76</v>
      </c>
      <c r="B37" t="s">
        <v>32</v>
      </c>
      <c r="C37">
        <v>183.86</v>
      </c>
      <c r="D37">
        <v>6</v>
      </c>
      <c r="E37">
        <v>29.55</v>
      </c>
      <c r="F37">
        <v>56</v>
      </c>
      <c r="G37">
        <v>52</v>
      </c>
      <c r="H37">
        <v>1</v>
      </c>
      <c r="I37" t="s">
        <v>33</v>
      </c>
      <c r="J37">
        <v>0</v>
      </c>
      <c r="K37">
        <v>41.7</v>
      </c>
      <c r="L37">
        <v>12.8</v>
      </c>
      <c r="M37" t="s">
        <v>39</v>
      </c>
      <c r="N37" t="s">
        <v>26</v>
      </c>
    </row>
    <row r="38" spans="1:14" x14ac:dyDescent="0.2">
      <c r="A38" t="s">
        <v>77</v>
      </c>
      <c r="B38" t="s">
        <v>23</v>
      </c>
      <c r="C38">
        <v>708.78</v>
      </c>
      <c r="D38">
        <v>11</v>
      </c>
      <c r="E38">
        <v>64.95</v>
      </c>
      <c r="F38">
        <v>30</v>
      </c>
      <c r="G38">
        <v>11.7</v>
      </c>
      <c r="H38">
        <v>4</v>
      </c>
      <c r="I38" t="s">
        <v>24</v>
      </c>
      <c r="J38">
        <v>8</v>
      </c>
      <c r="K38">
        <v>63.6</v>
      </c>
      <c r="L38">
        <v>11.4</v>
      </c>
      <c r="M38" t="s">
        <v>39</v>
      </c>
      <c r="N38" t="s">
        <v>45</v>
      </c>
    </row>
    <row r="39" spans="1:14" x14ac:dyDescent="0.2">
      <c r="A39" t="s">
        <v>78</v>
      </c>
      <c r="B39" t="s">
        <v>37</v>
      </c>
      <c r="C39">
        <v>242.61</v>
      </c>
      <c r="D39">
        <v>5</v>
      </c>
      <c r="E39">
        <v>51.38</v>
      </c>
      <c r="F39">
        <v>54</v>
      </c>
      <c r="G39">
        <v>38.4</v>
      </c>
      <c r="H39">
        <v>5</v>
      </c>
      <c r="I39" t="s">
        <v>33</v>
      </c>
      <c r="J39">
        <v>0</v>
      </c>
      <c r="K39">
        <v>42.7</v>
      </c>
      <c r="L39">
        <v>6</v>
      </c>
      <c r="M39" t="s">
        <v>29</v>
      </c>
      <c r="N39" t="s">
        <v>30</v>
      </c>
    </row>
    <row r="40" spans="1:14" x14ac:dyDescent="0.2">
      <c r="A40" t="s">
        <v>79</v>
      </c>
      <c r="B40" t="s">
        <v>35</v>
      </c>
      <c r="C40">
        <v>758.69</v>
      </c>
      <c r="D40">
        <v>10</v>
      </c>
      <c r="E40">
        <v>73.42</v>
      </c>
      <c r="F40">
        <v>28</v>
      </c>
      <c r="G40">
        <v>25.9</v>
      </c>
      <c r="H40">
        <v>4</v>
      </c>
      <c r="I40" t="s">
        <v>24</v>
      </c>
      <c r="J40">
        <v>10</v>
      </c>
      <c r="K40">
        <v>62</v>
      </c>
      <c r="L40">
        <v>18.899999999999999</v>
      </c>
      <c r="M40" t="s">
        <v>29</v>
      </c>
      <c r="N40" t="s">
        <v>43</v>
      </c>
    </row>
    <row r="41" spans="1:14" x14ac:dyDescent="0.2">
      <c r="A41" t="s">
        <v>80</v>
      </c>
      <c r="B41" t="s">
        <v>58</v>
      </c>
      <c r="C41">
        <v>78.010000000000005</v>
      </c>
      <c r="D41">
        <v>2</v>
      </c>
      <c r="E41">
        <v>39.03</v>
      </c>
      <c r="F41">
        <v>162</v>
      </c>
      <c r="G41">
        <v>3.6</v>
      </c>
      <c r="H41">
        <v>1</v>
      </c>
      <c r="I41" t="s">
        <v>33</v>
      </c>
      <c r="J41">
        <v>0</v>
      </c>
      <c r="K41">
        <v>4.8</v>
      </c>
      <c r="L41">
        <v>7.5</v>
      </c>
      <c r="M41" t="s">
        <v>29</v>
      </c>
      <c r="N41" t="s">
        <v>26</v>
      </c>
    </row>
    <row r="42" spans="1:14" x14ac:dyDescent="0.2">
      <c r="A42" t="s">
        <v>81</v>
      </c>
      <c r="B42" t="s">
        <v>37</v>
      </c>
      <c r="C42">
        <v>247.93</v>
      </c>
      <c r="D42">
        <v>6</v>
      </c>
      <c r="E42">
        <v>42.65</v>
      </c>
      <c r="F42">
        <v>58</v>
      </c>
      <c r="G42">
        <v>46.8</v>
      </c>
      <c r="H42">
        <v>2</v>
      </c>
      <c r="I42" t="s">
        <v>33</v>
      </c>
      <c r="J42">
        <v>0</v>
      </c>
      <c r="K42">
        <v>43.7</v>
      </c>
      <c r="L42">
        <v>12.4</v>
      </c>
      <c r="M42" t="s">
        <v>25</v>
      </c>
      <c r="N42" t="s">
        <v>43</v>
      </c>
    </row>
    <row r="43" spans="1:14" x14ac:dyDescent="0.2">
      <c r="A43" t="s">
        <v>82</v>
      </c>
      <c r="B43" t="s">
        <v>58</v>
      </c>
      <c r="C43">
        <v>97.18</v>
      </c>
      <c r="D43">
        <v>2</v>
      </c>
      <c r="E43">
        <v>45.93</v>
      </c>
      <c r="F43">
        <v>99</v>
      </c>
      <c r="G43">
        <v>27.4</v>
      </c>
      <c r="H43">
        <v>2</v>
      </c>
      <c r="I43" t="s">
        <v>33</v>
      </c>
      <c r="J43">
        <v>0</v>
      </c>
      <c r="K43">
        <v>21.9</v>
      </c>
      <c r="L43">
        <v>4.3</v>
      </c>
      <c r="M43" t="s">
        <v>29</v>
      </c>
      <c r="N43" t="s">
        <v>43</v>
      </c>
    </row>
    <row r="44" spans="1:14" x14ac:dyDescent="0.2">
      <c r="A44" t="s">
        <v>83</v>
      </c>
      <c r="B44" t="s">
        <v>37</v>
      </c>
      <c r="C44">
        <v>154.81</v>
      </c>
      <c r="D44">
        <v>3</v>
      </c>
      <c r="E44">
        <v>54.7</v>
      </c>
      <c r="F44">
        <v>202</v>
      </c>
      <c r="G44">
        <v>30.2</v>
      </c>
      <c r="H44">
        <v>2</v>
      </c>
      <c r="I44" t="s">
        <v>33</v>
      </c>
      <c r="J44">
        <v>0</v>
      </c>
      <c r="K44">
        <v>2</v>
      </c>
      <c r="L44">
        <v>5.2</v>
      </c>
      <c r="M44" t="s">
        <v>25</v>
      </c>
      <c r="N44" t="s">
        <v>43</v>
      </c>
    </row>
    <row r="45" spans="1:14" x14ac:dyDescent="0.2">
      <c r="A45" t="s">
        <v>84</v>
      </c>
      <c r="B45" t="s">
        <v>28</v>
      </c>
      <c r="C45">
        <v>158.29</v>
      </c>
      <c r="D45">
        <v>3</v>
      </c>
      <c r="E45">
        <v>56.32</v>
      </c>
      <c r="F45">
        <v>44</v>
      </c>
      <c r="G45">
        <v>26.6</v>
      </c>
      <c r="H45">
        <v>4</v>
      </c>
      <c r="I45" t="s">
        <v>24</v>
      </c>
      <c r="J45">
        <v>9</v>
      </c>
      <c r="K45">
        <v>19.100000000000001</v>
      </c>
      <c r="L45">
        <v>14.5</v>
      </c>
      <c r="M45" t="s">
        <v>29</v>
      </c>
      <c r="N45" t="s">
        <v>43</v>
      </c>
    </row>
    <row r="46" spans="1:14" x14ac:dyDescent="0.2">
      <c r="A46" t="s">
        <v>85</v>
      </c>
      <c r="B46" t="s">
        <v>23</v>
      </c>
      <c r="C46">
        <v>366.37</v>
      </c>
      <c r="D46">
        <v>5</v>
      </c>
      <c r="E46">
        <v>78</v>
      </c>
      <c r="F46">
        <v>38</v>
      </c>
      <c r="G46">
        <v>21.2</v>
      </c>
      <c r="H46">
        <v>3</v>
      </c>
      <c r="I46" t="s">
        <v>24</v>
      </c>
      <c r="J46">
        <v>17</v>
      </c>
      <c r="K46">
        <v>49.2</v>
      </c>
      <c r="L46">
        <v>13.9</v>
      </c>
      <c r="M46" t="s">
        <v>25</v>
      </c>
      <c r="N46" t="s">
        <v>43</v>
      </c>
    </row>
    <row r="47" spans="1:14" x14ac:dyDescent="0.2">
      <c r="A47" t="s">
        <v>86</v>
      </c>
      <c r="B47" t="s">
        <v>35</v>
      </c>
      <c r="C47">
        <v>422.06</v>
      </c>
      <c r="D47">
        <v>6</v>
      </c>
      <c r="E47">
        <v>68.98</v>
      </c>
      <c r="F47">
        <v>26</v>
      </c>
      <c r="G47">
        <v>9.6999999999999993</v>
      </c>
      <c r="H47">
        <v>4</v>
      </c>
      <c r="I47" t="s">
        <v>33</v>
      </c>
      <c r="J47">
        <v>0</v>
      </c>
      <c r="K47">
        <v>56</v>
      </c>
      <c r="L47">
        <v>8.3000000000000007</v>
      </c>
      <c r="M47" t="s">
        <v>53</v>
      </c>
      <c r="N47" t="s">
        <v>30</v>
      </c>
    </row>
    <row r="48" spans="1:14" x14ac:dyDescent="0.2">
      <c r="A48" t="s">
        <v>87</v>
      </c>
      <c r="B48" t="s">
        <v>23</v>
      </c>
      <c r="C48">
        <v>385.43</v>
      </c>
      <c r="D48">
        <v>9</v>
      </c>
      <c r="E48">
        <v>46.46</v>
      </c>
      <c r="F48">
        <v>7</v>
      </c>
      <c r="G48">
        <v>17.600000000000001</v>
      </c>
      <c r="H48">
        <v>3</v>
      </c>
      <c r="I48" t="s">
        <v>24</v>
      </c>
      <c r="J48">
        <v>16</v>
      </c>
      <c r="K48">
        <v>52.2</v>
      </c>
      <c r="L48">
        <v>20.399999999999999</v>
      </c>
      <c r="M48" t="s">
        <v>47</v>
      </c>
      <c r="N48" t="s">
        <v>30</v>
      </c>
    </row>
    <row r="49" spans="1:14" x14ac:dyDescent="0.2">
      <c r="A49" t="s">
        <v>88</v>
      </c>
      <c r="B49" t="s">
        <v>58</v>
      </c>
      <c r="C49">
        <v>319.3</v>
      </c>
      <c r="D49">
        <v>6</v>
      </c>
      <c r="E49">
        <v>52.81</v>
      </c>
      <c r="F49">
        <v>25</v>
      </c>
      <c r="G49">
        <v>0.1</v>
      </c>
      <c r="H49">
        <v>5</v>
      </c>
      <c r="I49" t="s">
        <v>33</v>
      </c>
      <c r="J49">
        <v>0</v>
      </c>
      <c r="K49">
        <v>38.1</v>
      </c>
      <c r="L49">
        <v>12.8</v>
      </c>
      <c r="M49" t="s">
        <v>47</v>
      </c>
      <c r="N49" t="s">
        <v>26</v>
      </c>
    </row>
    <row r="50" spans="1:14" x14ac:dyDescent="0.2">
      <c r="A50" t="s">
        <v>89</v>
      </c>
      <c r="B50" t="s">
        <v>58</v>
      </c>
      <c r="C50">
        <v>389.33</v>
      </c>
      <c r="D50">
        <v>7</v>
      </c>
      <c r="E50">
        <v>56.57</v>
      </c>
      <c r="F50">
        <v>18</v>
      </c>
      <c r="G50">
        <v>25.7</v>
      </c>
      <c r="H50">
        <v>4</v>
      </c>
      <c r="I50" t="s">
        <v>33</v>
      </c>
      <c r="J50">
        <v>0</v>
      </c>
      <c r="K50">
        <v>39.200000000000003</v>
      </c>
      <c r="L50">
        <v>1.5</v>
      </c>
      <c r="M50" t="s">
        <v>47</v>
      </c>
      <c r="N50" t="s">
        <v>43</v>
      </c>
    </row>
    <row r="51" spans="1:14" x14ac:dyDescent="0.2">
      <c r="A51" t="s">
        <v>90</v>
      </c>
      <c r="B51" t="s">
        <v>37</v>
      </c>
      <c r="C51">
        <v>153.22999999999999</v>
      </c>
      <c r="D51">
        <v>2</v>
      </c>
      <c r="E51">
        <v>72.650000000000006</v>
      </c>
      <c r="F51">
        <v>109</v>
      </c>
      <c r="G51">
        <v>19.899999999999999</v>
      </c>
      <c r="H51">
        <v>3</v>
      </c>
      <c r="I51" t="s">
        <v>33</v>
      </c>
      <c r="J51">
        <v>0</v>
      </c>
      <c r="K51">
        <v>9.1999999999999993</v>
      </c>
      <c r="L51">
        <v>3.8</v>
      </c>
      <c r="M51" t="s">
        <v>39</v>
      </c>
      <c r="N51" t="s">
        <v>30</v>
      </c>
    </row>
    <row r="52" spans="1:14" x14ac:dyDescent="0.2">
      <c r="A52" t="s">
        <v>91</v>
      </c>
      <c r="B52" t="s">
        <v>28</v>
      </c>
      <c r="C52">
        <v>247.72</v>
      </c>
      <c r="D52">
        <v>5</v>
      </c>
      <c r="E52">
        <v>47.73</v>
      </c>
      <c r="F52">
        <v>153</v>
      </c>
      <c r="G52">
        <v>29.4</v>
      </c>
      <c r="H52">
        <v>3</v>
      </c>
      <c r="I52" t="s">
        <v>24</v>
      </c>
      <c r="J52">
        <v>6</v>
      </c>
      <c r="K52">
        <v>12.5</v>
      </c>
      <c r="L52">
        <v>5.2</v>
      </c>
      <c r="M52" t="s">
        <v>25</v>
      </c>
      <c r="N52" t="s">
        <v>30</v>
      </c>
    </row>
    <row r="53" spans="1:14" x14ac:dyDescent="0.2">
      <c r="A53" t="s">
        <v>92</v>
      </c>
      <c r="B53" t="s">
        <v>32</v>
      </c>
      <c r="C53">
        <v>268.93</v>
      </c>
      <c r="D53">
        <v>5</v>
      </c>
      <c r="E53">
        <v>56.64</v>
      </c>
      <c r="F53">
        <v>148</v>
      </c>
      <c r="G53">
        <v>18.3</v>
      </c>
      <c r="H53">
        <v>1</v>
      </c>
      <c r="I53" t="s">
        <v>33</v>
      </c>
      <c r="J53">
        <v>0</v>
      </c>
      <c r="K53">
        <v>14.2</v>
      </c>
      <c r="L53">
        <v>7</v>
      </c>
      <c r="M53" t="s">
        <v>39</v>
      </c>
      <c r="N53" t="s">
        <v>45</v>
      </c>
    </row>
    <row r="54" spans="1:14" x14ac:dyDescent="0.2">
      <c r="A54" t="s">
        <v>93</v>
      </c>
      <c r="B54" t="s">
        <v>28</v>
      </c>
      <c r="C54">
        <v>875.42</v>
      </c>
      <c r="D54">
        <v>10</v>
      </c>
      <c r="E54">
        <v>83.86</v>
      </c>
      <c r="F54">
        <v>35</v>
      </c>
      <c r="G54">
        <v>16.3</v>
      </c>
      <c r="H54">
        <v>3</v>
      </c>
      <c r="I54" t="s">
        <v>24</v>
      </c>
      <c r="J54">
        <v>6</v>
      </c>
      <c r="K54">
        <v>50</v>
      </c>
      <c r="L54">
        <v>17.399999999999999</v>
      </c>
      <c r="M54" t="s">
        <v>47</v>
      </c>
      <c r="N54" t="s">
        <v>30</v>
      </c>
    </row>
    <row r="55" spans="1:14" x14ac:dyDescent="0.2">
      <c r="A55" t="s">
        <v>94</v>
      </c>
      <c r="B55" t="s">
        <v>32</v>
      </c>
      <c r="C55">
        <v>193.7</v>
      </c>
      <c r="D55">
        <v>3</v>
      </c>
      <c r="E55">
        <v>62.1</v>
      </c>
      <c r="F55">
        <v>23</v>
      </c>
      <c r="G55">
        <v>47.7</v>
      </c>
      <c r="H55">
        <v>5</v>
      </c>
      <c r="I55" t="s">
        <v>33</v>
      </c>
      <c r="J55">
        <v>0</v>
      </c>
      <c r="K55">
        <v>62.6</v>
      </c>
      <c r="L55">
        <v>22</v>
      </c>
      <c r="M55" t="s">
        <v>47</v>
      </c>
      <c r="N55" t="s">
        <v>43</v>
      </c>
    </row>
    <row r="56" spans="1:14" x14ac:dyDescent="0.2">
      <c r="A56" t="s">
        <v>95</v>
      </c>
      <c r="B56" t="s">
        <v>35</v>
      </c>
      <c r="C56">
        <v>339.37</v>
      </c>
      <c r="D56">
        <v>7</v>
      </c>
      <c r="E56">
        <v>50.58</v>
      </c>
      <c r="F56">
        <v>23</v>
      </c>
      <c r="G56">
        <v>43.6</v>
      </c>
      <c r="H56">
        <v>1</v>
      </c>
      <c r="I56" t="s">
        <v>33</v>
      </c>
      <c r="J56">
        <v>0</v>
      </c>
      <c r="K56">
        <v>18.3</v>
      </c>
      <c r="L56">
        <v>12.3</v>
      </c>
      <c r="M56" t="s">
        <v>39</v>
      </c>
      <c r="N56" t="s">
        <v>26</v>
      </c>
    </row>
    <row r="57" spans="1:14" x14ac:dyDescent="0.2">
      <c r="A57" t="s">
        <v>96</v>
      </c>
      <c r="B57" t="s">
        <v>28</v>
      </c>
      <c r="C57">
        <v>254.76</v>
      </c>
      <c r="D57">
        <v>6</v>
      </c>
      <c r="E57">
        <v>40.229999999999997</v>
      </c>
      <c r="F57">
        <v>46</v>
      </c>
      <c r="G57">
        <v>44.7</v>
      </c>
      <c r="H57">
        <v>3</v>
      </c>
      <c r="I57" t="s">
        <v>33</v>
      </c>
      <c r="J57">
        <v>0</v>
      </c>
      <c r="K57">
        <v>41</v>
      </c>
      <c r="L57">
        <v>11.1</v>
      </c>
      <c r="M57" t="s">
        <v>25</v>
      </c>
      <c r="N57" t="s">
        <v>30</v>
      </c>
    </row>
    <row r="58" spans="1:14" x14ac:dyDescent="0.2">
      <c r="A58" t="s">
        <v>97</v>
      </c>
      <c r="B58" t="s">
        <v>37</v>
      </c>
      <c r="C58">
        <v>222.9</v>
      </c>
      <c r="D58">
        <v>5</v>
      </c>
      <c r="E58">
        <v>44.26</v>
      </c>
      <c r="F58">
        <v>72</v>
      </c>
      <c r="G58">
        <v>45</v>
      </c>
      <c r="H58">
        <v>3</v>
      </c>
      <c r="I58" t="s">
        <v>33</v>
      </c>
      <c r="J58">
        <v>0</v>
      </c>
      <c r="K58">
        <v>45.3</v>
      </c>
      <c r="L58">
        <v>5.8</v>
      </c>
      <c r="M58" t="s">
        <v>29</v>
      </c>
      <c r="N58" t="s">
        <v>26</v>
      </c>
    </row>
    <row r="59" spans="1:14" x14ac:dyDescent="0.2">
      <c r="A59" t="s">
        <v>98</v>
      </c>
      <c r="B59" t="s">
        <v>37</v>
      </c>
      <c r="C59">
        <v>684.89</v>
      </c>
      <c r="D59">
        <v>9</v>
      </c>
      <c r="E59">
        <v>76</v>
      </c>
      <c r="F59">
        <v>17</v>
      </c>
      <c r="G59">
        <v>8.1</v>
      </c>
      <c r="H59">
        <v>4</v>
      </c>
      <c r="I59" t="s">
        <v>24</v>
      </c>
      <c r="J59">
        <v>13</v>
      </c>
      <c r="K59">
        <v>64.7</v>
      </c>
      <c r="L59">
        <v>27.5</v>
      </c>
      <c r="M59" t="s">
        <v>29</v>
      </c>
      <c r="N59" t="s">
        <v>30</v>
      </c>
    </row>
    <row r="60" spans="1:14" x14ac:dyDescent="0.2">
      <c r="A60" t="s">
        <v>99</v>
      </c>
      <c r="B60" t="s">
        <v>37</v>
      </c>
      <c r="C60">
        <v>745.08</v>
      </c>
      <c r="D60">
        <v>10</v>
      </c>
      <c r="E60">
        <v>77.66</v>
      </c>
      <c r="F60">
        <v>33</v>
      </c>
      <c r="G60">
        <v>1.4</v>
      </c>
      <c r="H60">
        <v>4</v>
      </c>
      <c r="I60" t="s">
        <v>24</v>
      </c>
      <c r="J60">
        <v>9</v>
      </c>
      <c r="K60">
        <v>61.7</v>
      </c>
      <c r="L60">
        <v>14.7</v>
      </c>
      <c r="M60" t="s">
        <v>47</v>
      </c>
      <c r="N60" t="s">
        <v>40</v>
      </c>
    </row>
    <row r="61" spans="1:14" x14ac:dyDescent="0.2">
      <c r="A61" t="s">
        <v>100</v>
      </c>
      <c r="B61" t="s">
        <v>23</v>
      </c>
      <c r="C61">
        <v>99.74</v>
      </c>
      <c r="D61">
        <v>2</v>
      </c>
      <c r="E61">
        <v>52.49</v>
      </c>
      <c r="F61">
        <v>113</v>
      </c>
      <c r="G61">
        <v>13.5</v>
      </c>
      <c r="H61">
        <v>2</v>
      </c>
      <c r="I61" t="s">
        <v>33</v>
      </c>
      <c r="J61">
        <v>0</v>
      </c>
      <c r="K61">
        <v>27.8</v>
      </c>
      <c r="L61">
        <v>9.3000000000000007</v>
      </c>
      <c r="M61" t="s">
        <v>39</v>
      </c>
      <c r="N61" t="s">
        <v>30</v>
      </c>
    </row>
    <row r="62" spans="1:14" x14ac:dyDescent="0.2">
      <c r="A62" t="s">
        <v>101</v>
      </c>
      <c r="B62" t="s">
        <v>23</v>
      </c>
      <c r="C62">
        <v>622</v>
      </c>
      <c r="D62">
        <v>10</v>
      </c>
      <c r="E62">
        <v>65.900000000000006</v>
      </c>
      <c r="F62">
        <v>24</v>
      </c>
      <c r="G62">
        <v>11.2</v>
      </c>
      <c r="H62">
        <v>3</v>
      </c>
      <c r="I62" t="s">
        <v>33</v>
      </c>
      <c r="J62">
        <v>0</v>
      </c>
      <c r="K62">
        <v>63.8</v>
      </c>
      <c r="L62">
        <v>8.8000000000000007</v>
      </c>
      <c r="M62" t="s">
        <v>29</v>
      </c>
      <c r="N62" t="s">
        <v>43</v>
      </c>
    </row>
    <row r="63" spans="1:14" x14ac:dyDescent="0.2">
      <c r="A63" t="s">
        <v>102</v>
      </c>
      <c r="B63" t="s">
        <v>23</v>
      </c>
      <c r="C63">
        <v>62.78</v>
      </c>
      <c r="D63">
        <v>1</v>
      </c>
      <c r="E63">
        <v>63.67</v>
      </c>
      <c r="F63">
        <v>217</v>
      </c>
      <c r="G63">
        <v>18.3</v>
      </c>
      <c r="H63">
        <v>1</v>
      </c>
      <c r="I63" t="s">
        <v>33</v>
      </c>
      <c r="J63">
        <v>0</v>
      </c>
      <c r="K63">
        <v>8.4</v>
      </c>
      <c r="L63">
        <v>9.4</v>
      </c>
      <c r="M63" t="s">
        <v>55</v>
      </c>
      <c r="N63" t="s">
        <v>30</v>
      </c>
    </row>
    <row r="64" spans="1:14" x14ac:dyDescent="0.2">
      <c r="A64" t="s">
        <v>103</v>
      </c>
      <c r="B64" t="s">
        <v>32</v>
      </c>
      <c r="C64">
        <v>344.11</v>
      </c>
      <c r="D64">
        <v>4</v>
      </c>
      <c r="E64">
        <v>84.63</v>
      </c>
      <c r="F64">
        <v>54</v>
      </c>
      <c r="G64">
        <v>8.6999999999999993</v>
      </c>
      <c r="H64">
        <v>3</v>
      </c>
      <c r="I64" t="s">
        <v>24</v>
      </c>
      <c r="J64">
        <v>12</v>
      </c>
      <c r="K64">
        <v>78.3</v>
      </c>
      <c r="L64">
        <v>25.4</v>
      </c>
      <c r="M64" t="s">
        <v>47</v>
      </c>
      <c r="N64" t="s">
        <v>43</v>
      </c>
    </row>
    <row r="65" spans="1:14" x14ac:dyDescent="0.2">
      <c r="A65" t="s">
        <v>104</v>
      </c>
      <c r="B65" t="s">
        <v>23</v>
      </c>
      <c r="C65">
        <v>386.35</v>
      </c>
      <c r="D65">
        <v>8</v>
      </c>
      <c r="E65">
        <v>46.74</v>
      </c>
      <c r="F65">
        <v>28</v>
      </c>
      <c r="G65">
        <v>57.3</v>
      </c>
      <c r="H65">
        <v>2</v>
      </c>
      <c r="I65" t="s">
        <v>24</v>
      </c>
      <c r="J65">
        <v>5</v>
      </c>
      <c r="K65">
        <v>49.2</v>
      </c>
      <c r="L65">
        <v>7.4</v>
      </c>
      <c r="M65" t="s">
        <v>29</v>
      </c>
      <c r="N65" t="s">
        <v>30</v>
      </c>
    </row>
    <row r="66" spans="1:14" x14ac:dyDescent="0.2">
      <c r="A66" t="s">
        <v>105</v>
      </c>
      <c r="B66" t="s">
        <v>23</v>
      </c>
      <c r="C66">
        <v>335.1</v>
      </c>
      <c r="D66">
        <v>6</v>
      </c>
      <c r="E66">
        <v>53.82</v>
      </c>
      <c r="F66">
        <v>36</v>
      </c>
      <c r="G66">
        <v>34.299999999999997</v>
      </c>
      <c r="H66">
        <v>2</v>
      </c>
      <c r="I66" t="s">
        <v>24</v>
      </c>
      <c r="J66">
        <v>1</v>
      </c>
      <c r="K66">
        <v>42.8</v>
      </c>
      <c r="L66">
        <v>4.5</v>
      </c>
      <c r="M66" t="s">
        <v>25</v>
      </c>
      <c r="N66" t="s">
        <v>40</v>
      </c>
    </row>
    <row r="67" spans="1:14" x14ac:dyDescent="0.2">
      <c r="A67" t="s">
        <v>106</v>
      </c>
      <c r="B67" t="s">
        <v>58</v>
      </c>
      <c r="C67">
        <v>172.89</v>
      </c>
      <c r="D67">
        <v>3</v>
      </c>
      <c r="E67">
        <v>56.83</v>
      </c>
      <c r="F67">
        <v>51</v>
      </c>
      <c r="G67">
        <v>62.7</v>
      </c>
      <c r="H67">
        <v>2</v>
      </c>
      <c r="I67" t="s">
        <v>33</v>
      </c>
      <c r="J67">
        <v>0</v>
      </c>
      <c r="K67">
        <v>28.4</v>
      </c>
      <c r="L67">
        <v>14.8</v>
      </c>
      <c r="M67" t="s">
        <v>25</v>
      </c>
      <c r="N67" t="s">
        <v>43</v>
      </c>
    </row>
    <row r="68" spans="1:14" x14ac:dyDescent="0.2">
      <c r="A68" t="s">
        <v>107</v>
      </c>
      <c r="B68" t="s">
        <v>37</v>
      </c>
      <c r="C68">
        <v>51.82</v>
      </c>
      <c r="D68">
        <v>1</v>
      </c>
      <c r="E68">
        <v>49.13</v>
      </c>
      <c r="F68">
        <v>146</v>
      </c>
      <c r="G68">
        <v>10.8</v>
      </c>
      <c r="H68">
        <v>1</v>
      </c>
      <c r="I68" t="s">
        <v>33</v>
      </c>
      <c r="J68">
        <v>0</v>
      </c>
      <c r="K68">
        <v>30.3</v>
      </c>
      <c r="L68">
        <v>4.4000000000000004</v>
      </c>
      <c r="M68" t="s">
        <v>29</v>
      </c>
      <c r="N68" t="s">
        <v>40</v>
      </c>
    </row>
    <row r="69" spans="1:14" x14ac:dyDescent="0.2">
      <c r="A69" t="s">
        <v>108</v>
      </c>
      <c r="B69" t="s">
        <v>32</v>
      </c>
      <c r="C69">
        <v>249.75</v>
      </c>
      <c r="D69">
        <v>7</v>
      </c>
      <c r="E69">
        <v>37.74</v>
      </c>
      <c r="F69">
        <v>3</v>
      </c>
      <c r="G69">
        <v>34</v>
      </c>
      <c r="H69">
        <v>2</v>
      </c>
      <c r="I69" t="s">
        <v>33</v>
      </c>
      <c r="J69">
        <v>0</v>
      </c>
      <c r="K69">
        <v>55.7</v>
      </c>
      <c r="L69">
        <v>13.6</v>
      </c>
      <c r="M69" t="s">
        <v>25</v>
      </c>
      <c r="N69" t="s">
        <v>40</v>
      </c>
    </row>
    <row r="70" spans="1:14" x14ac:dyDescent="0.2">
      <c r="A70" t="s">
        <v>109</v>
      </c>
      <c r="B70" t="s">
        <v>37</v>
      </c>
      <c r="C70">
        <v>123.83</v>
      </c>
      <c r="D70">
        <v>3</v>
      </c>
      <c r="E70">
        <v>43.02</v>
      </c>
      <c r="F70">
        <v>174</v>
      </c>
      <c r="G70">
        <v>25</v>
      </c>
      <c r="H70">
        <v>3</v>
      </c>
      <c r="I70" t="s">
        <v>33</v>
      </c>
      <c r="J70">
        <v>0</v>
      </c>
      <c r="K70">
        <v>14.2</v>
      </c>
      <c r="L70">
        <v>2.2999999999999998</v>
      </c>
      <c r="M70" t="s">
        <v>25</v>
      </c>
      <c r="N70" t="s">
        <v>43</v>
      </c>
    </row>
    <row r="71" spans="1:14" x14ac:dyDescent="0.2">
      <c r="A71" t="s">
        <v>110</v>
      </c>
      <c r="B71" t="s">
        <v>28</v>
      </c>
      <c r="C71">
        <v>208.97</v>
      </c>
      <c r="D71">
        <v>5</v>
      </c>
      <c r="E71">
        <v>44.94</v>
      </c>
      <c r="F71">
        <v>23</v>
      </c>
      <c r="G71">
        <v>59</v>
      </c>
      <c r="H71">
        <v>4</v>
      </c>
      <c r="I71" t="s">
        <v>24</v>
      </c>
      <c r="J71">
        <v>5</v>
      </c>
      <c r="K71">
        <v>32.700000000000003</v>
      </c>
      <c r="L71">
        <v>9.9</v>
      </c>
      <c r="M71" t="s">
        <v>29</v>
      </c>
      <c r="N71" t="s">
        <v>26</v>
      </c>
    </row>
    <row r="72" spans="1:14" x14ac:dyDescent="0.2">
      <c r="A72" t="s">
        <v>111</v>
      </c>
      <c r="B72" t="s">
        <v>32</v>
      </c>
      <c r="C72">
        <v>63.09</v>
      </c>
      <c r="D72">
        <v>1</v>
      </c>
      <c r="E72">
        <v>65.61</v>
      </c>
      <c r="F72">
        <v>127</v>
      </c>
      <c r="G72">
        <v>29.4</v>
      </c>
      <c r="H72">
        <v>2</v>
      </c>
      <c r="I72" t="s">
        <v>33</v>
      </c>
      <c r="J72">
        <v>0</v>
      </c>
      <c r="K72">
        <v>26.1</v>
      </c>
      <c r="L72">
        <v>4.7</v>
      </c>
      <c r="M72" t="s">
        <v>25</v>
      </c>
      <c r="N72" t="s">
        <v>26</v>
      </c>
    </row>
    <row r="73" spans="1:14" x14ac:dyDescent="0.2">
      <c r="A73" t="s">
        <v>112</v>
      </c>
      <c r="B73" t="s">
        <v>37</v>
      </c>
      <c r="C73">
        <v>190.74</v>
      </c>
      <c r="D73">
        <v>3</v>
      </c>
      <c r="E73">
        <v>65.150000000000006</v>
      </c>
      <c r="F73">
        <v>40</v>
      </c>
      <c r="G73">
        <v>13.5</v>
      </c>
      <c r="H73">
        <v>3</v>
      </c>
      <c r="I73" t="s">
        <v>33</v>
      </c>
      <c r="J73">
        <v>0</v>
      </c>
      <c r="K73">
        <v>48.8</v>
      </c>
      <c r="L73">
        <v>14.7</v>
      </c>
      <c r="M73" t="s">
        <v>53</v>
      </c>
      <c r="N73" t="s">
        <v>26</v>
      </c>
    </row>
    <row r="74" spans="1:14" x14ac:dyDescent="0.2">
      <c r="A74" t="s">
        <v>113</v>
      </c>
      <c r="B74" t="s">
        <v>37</v>
      </c>
      <c r="C74">
        <v>93.57</v>
      </c>
      <c r="D74">
        <v>2</v>
      </c>
      <c r="E74">
        <v>45.28</v>
      </c>
      <c r="F74">
        <v>191</v>
      </c>
      <c r="G74">
        <v>24</v>
      </c>
      <c r="H74">
        <v>1</v>
      </c>
      <c r="I74" t="s">
        <v>33</v>
      </c>
      <c r="J74">
        <v>0</v>
      </c>
      <c r="K74">
        <v>22.5</v>
      </c>
      <c r="L74">
        <v>4.0999999999999996</v>
      </c>
      <c r="M74" t="s">
        <v>25</v>
      </c>
      <c r="N74" t="s">
        <v>26</v>
      </c>
    </row>
    <row r="75" spans="1:14" x14ac:dyDescent="0.2">
      <c r="A75" t="s">
        <v>114</v>
      </c>
      <c r="B75" t="s">
        <v>32</v>
      </c>
      <c r="C75">
        <v>513.5</v>
      </c>
      <c r="D75">
        <v>8</v>
      </c>
      <c r="E75">
        <v>63.72</v>
      </c>
      <c r="F75">
        <v>11</v>
      </c>
      <c r="G75">
        <v>12.5</v>
      </c>
      <c r="H75">
        <v>1</v>
      </c>
      <c r="I75" t="s">
        <v>24</v>
      </c>
      <c r="J75">
        <v>10</v>
      </c>
      <c r="K75">
        <v>80.099999999999994</v>
      </c>
      <c r="L75">
        <v>24.8</v>
      </c>
      <c r="M75" t="s">
        <v>39</v>
      </c>
      <c r="N75" t="s">
        <v>30</v>
      </c>
    </row>
    <row r="76" spans="1:14" x14ac:dyDescent="0.2">
      <c r="A76" t="s">
        <v>115</v>
      </c>
      <c r="B76" t="s">
        <v>35</v>
      </c>
      <c r="C76">
        <v>351.23</v>
      </c>
      <c r="D76">
        <v>5</v>
      </c>
      <c r="E76">
        <v>72.209999999999994</v>
      </c>
      <c r="F76">
        <v>21</v>
      </c>
      <c r="G76">
        <v>7.6</v>
      </c>
      <c r="H76">
        <v>5</v>
      </c>
      <c r="I76" t="s">
        <v>24</v>
      </c>
      <c r="J76">
        <v>9</v>
      </c>
      <c r="K76">
        <v>63.2</v>
      </c>
      <c r="L76">
        <v>12.5</v>
      </c>
      <c r="M76" t="s">
        <v>39</v>
      </c>
      <c r="N76" t="s">
        <v>26</v>
      </c>
    </row>
    <row r="77" spans="1:14" x14ac:dyDescent="0.2">
      <c r="A77" t="s">
        <v>116</v>
      </c>
      <c r="B77" t="s">
        <v>32</v>
      </c>
      <c r="C77">
        <v>170.58</v>
      </c>
      <c r="D77">
        <v>4</v>
      </c>
      <c r="E77">
        <v>42.98</v>
      </c>
      <c r="F77">
        <v>46</v>
      </c>
      <c r="G77">
        <v>67.5</v>
      </c>
      <c r="H77">
        <v>2</v>
      </c>
      <c r="I77" t="s">
        <v>33</v>
      </c>
      <c r="J77">
        <v>0</v>
      </c>
      <c r="K77">
        <v>34.4</v>
      </c>
      <c r="L77">
        <v>12</v>
      </c>
      <c r="M77" t="s">
        <v>55</v>
      </c>
      <c r="N77" t="s">
        <v>43</v>
      </c>
    </row>
    <row r="78" spans="1:14" x14ac:dyDescent="0.2">
      <c r="A78" t="s">
        <v>117</v>
      </c>
      <c r="B78" t="s">
        <v>32</v>
      </c>
      <c r="C78">
        <v>174.25</v>
      </c>
      <c r="D78">
        <v>3</v>
      </c>
      <c r="E78">
        <v>54.07</v>
      </c>
      <c r="F78">
        <v>283</v>
      </c>
      <c r="G78">
        <v>20.2</v>
      </c>
      <c r="H78">
        <v>2</v>
      </c>
      <c r="I78" t="s">
        <v>33</v>
      </c>
      <c r="J78">
        <v>0</v>
      </c>
      <c r="K78">
        <v>16</v>
      </c>
      <c r="L78">
        <v>8.9</v>
      </c>
      <c r="M78" t="s">
        <v>25</v>
      </c>
      <c r="N78" t="s">
        <v>45</v>
      </c>
    </row>
    <row r="79" spans="1:14" x14ac:dyDescent="0.2">
      <c r="A79" t="s">
        <v>118</v>
      </c>
      <c r="B79" t="s">
        <v>37</v>
      </c>
      <c r="C79">
        <v>441.12</v>
      </c>
      <c r="D79">
        <v>6</v>
      </c>
      <c r="E79">
        <v>73.13</v>
      </c>
      <c r="F79">
        <v>35</v>
      </c>
      <c r="G79">
        <v>3.4</v>
      </c>
      <c r="H79">
        <v>3</v>
      </c>
      <c r="I79" t="s">
        <v>24</v>
      </c>
      <c r="J79">
        <v>16</v>
      </c>
      <c r="K79">
        <v>62.4</v>
      </c>
      <c r="L79">
        <v>19.8</v>
      </c>
      <c r="M79" t="s">
        <v>29</v>
      </c>
      <c r="N79" t="s">
        <v>26</v>
      </c>
    </row>
    <row r="80" spans="1:14" x14ac:dyDescent="0.2">
      <c r="A80" t="s">
        <v>119</v>
      </c>
      <c r="B80" t="s">
        <v>23</v>
      </c>
      <c r="C80">
        <v>247.14</v>
      </c>
      <c r="D80">
        <v>5</v>
      </c>
      <c r="E80">
        <v>45.88</v>
      </c>
      <c r="F80">
        <v>27</v>
      </c>
      <c r="G80">
        <v>37.799999999999997</v>
      </c>
      <c r="H80">
        <v>4</v>
      </c>
      <c r="I80" t="s">
        <v>33</v>
      </c>
      <c r="J80">
        <v>0</v>
      </c>
      <c r="K80">
        <v>35.299999999999997</v>
      </c>
      <c r="L80">
        <v>11.9</v>
      </c>
      <c r="M80" t="s">
        <v>55</v>
      </c>
      <c r="N80" t="s">
        <v>45</v>
      </c>
    </row>
    <row r="81" spans="1:14" x14ac:dyDescent="0.2">
      <c r="A81" t="s">
        <v>120</v>
      </c>
      <c r="B81" t="s">
        <v>37</v>
      </c>
      <c r="C81">
        <v>100.4</v>
      </c>
      <c r="D81">
        <v>2</v>
      </c>
      <c r="E81">
        <v>50.16</v>
      </c>
      <c r="F81">
        <v>159</v>
      </c>
      <c r="G81">
        <v>12.4</v>
      </c>
      <c r="H81">
        <v>4</v>
      </c>
      <c r="I81" t="s">
        <v>24</v>
      </c>
      <c r="J81">
        <v>1</v>
      </c>
      <c r="K81">
        <v>23.5</v>
      </c>
      <c r="L81">
        <v>5.7</v>
      </c>
      <c r="M81" t="s">
        <v>53</v>
      </c>
      <c r="N81" t="s">
        <v>43</v>
      </c>
    </row>
    <row r="82" spans="1:14" x14ac:dyDescent="0.2">
      <c r="A82" t="s">
        <v>121</v>
      </c>
      <c r="B82" t="s">
        <v>32</v>
      </c>
      <c r="C82">
        <v>229.09</v>
      </c>
      <c r="D82">
        <v>5</v>
      </c>
      <c r="E82">
        <v>45.62</v>
      </c>
      <c r="F82">
        <v>48</v>
      </c>
      <c r="G82">
        <v>35.299999999999997</v>
      </c>
      <c r="H82">
        <v>2</v>
      </c>
      <c r="I82" t="s">
        <v>24</v>
      </c>
      <c r="J82">
        <v>8</v>
      </c>
      <c r="K82">
        <v>38.299999999999997</v>
      </c>
      <c r="L82">
        <v>8.9</v>
      </c>
      <c r="M82" t="s">
        <v>47</v>
      </c>
      <c r="N82" t="s">
        <v>26</v>
      </c>
    </row>
    <row r="83" spans="1:14" x14ac:dyDescent="0.2">
      <c r="A83" t="s">
        <v>122</v>
      </c>
      <c r="B83" t="s">
        <v>35</v>
      </c>
      <c r="C83">
        <v>354.73</v>
      </c>
      <c r="D83">
        <v>6</v>
      </c>
      <c r="E83">
        <v>60.93</v>
      </c>
      <c r="F83">
        <v>28</v>
      </c>
      <c r="G83">
        <v>27.9</v>
      </c>
      <c r="H83">
        <v>5</v>
      </c>
      <c r="I83" t="s">
        <v>33</v>
      </c>
      <c r="J83">
        <v>0</v>
      </c>
      <c r="K83">
        <v>45</v>
      </c>
      <c r="L83">
        <v>22</v>
      </c>
      <c r="M83" t="s">
        <v>29</v>
      </c>
      <c r="N83" t="s">
        <v>30</v>
      </c>
    </row>
    <row r="84" spans="1:14" x14ac:dyDescent="0.2">
      <c r="A84" t="s">
        <v>123</v>
      </c>
      <c r="B84" t="s">
        <v>23</v>
      </c>
      <c r="C84">
        <v>716.91</v>
      </c>
      <c r="D84">
        <v>8</v>
      </c>
      <c r="E84">
        <v>85.17</v>
      </c>
      <c r="F84">
        <v>1</v>
      </c>
      <c r="G84">
        <v>11.3</v>
      </c>
      <c r="H84">
        <v>3</v>
      </c>
      <c r="I84" t="s">
        <v>24</v>
      </c>
      <c r="J84">
        <v>10</v>
      </c>
      <c r="K84">
        <v>67.900000000000006</v>
      </c>
      <c r="L84">
        <v>18.7</v>
      </c>
      <c r="M84" t="s">
        <v>25</v>
      </c>
      <c r="N84" t="s">
        <v>30</v>
      </c>
    </row>
    <row r="85" spans="1:14" x14ac:dyDescent="0.2">
      <c r="A85" t="s">
        <v>124</v>
      </c>
      <c r="B85" t="s">
        <v>37</v>
      </c>
      <c r="C85">
        <v>440.48</v>
      </c>
      <c r="D85">
        <v>6</v>
      </c>
      <c r="E85">
        <v>69.61</v>
      </c>
      <c r="F85">
        <v>19</v>
      </c>
      <c r="G85">
        <v>9.8000000000000007</v>
      </c>
      <c r="H85">
        <v>3</v>
      </c>
      <c r="I85" t="s">
        <v>24</v>
      </c>
      <c r="J85">
        <v>15</v>
      </c>
      <c r="K85">
        <v>71.099999999999994</v>
      </c>
      <c r="L85">
        <v>8.4</v>
      </c>
      <c r="M85" t="s">
        <v>47</v>
      </c>
      <c r="N85" t="s">
        <v>45</v>
      </c>
    </row>
    <row r="86" spans="1:14" x14ac:dyDescent="0.2">
      <c r="A86" t="s">
        <v>125</v>
      </c>
      <c r="B86" t="s">
        <v>23</v>
      </c>
      <c r="C86">
        <v>222.9</v>
      </c>
      <c r="D86">
        <v>4</v>
      </c>
      <c r="E86">
        <v>59.84</v>
      </c>
      <c r="F86">
        <v>99</v>
      </c>
      <c r="G86">
        <v>21.8</v>
      </c>
      <c r="H86">
        <v>2</v>
      </c>
      <c r="I86" t="s">
        <v>33</v>
      </c>
      <c r="J86">
        <v>0</v>
      </c>
      <c r="K86">
        <v>31.6</v>
      </c>
      <c r="L86">
        <v>1.6</v>
      </c>
      <c r="M86" t="s">
        <v>55</v>
      </c>
      <c r="N86" t="s">
        <v>30</v>
      </c>
    </row>
    <row r="87" spans="1:14" x14ac:dyDescent="0.2">
      <c r="A87" t="s">
        <v>126</v>
      </c>
      <c r="B87" t="s">
        <v>23</v>
      </c>
      <c r="C87">
        <v>228.56</v>
      </c>
      <c r="D87">
        <v>6</v>
      </c>
      <c r="E87">
        <v>39.93</v>
      </c>
      <c r="F87">
        <v>30</v>
      </c>
      <c r="G87">
        <v>55</v>
      </c>
      <c r="H87">
        <v>3</v>
      </c>
      <c r="I87" t="s">
        <v>33</v>
      </c>
      <c r="J87">
        <v>0</v>
      </c>
      <c r="K87">
        <v>24.5</v>
      </c>
      <c r="L87">
        <v>2.2999999999999998</v>
      </c>
      <c r="M87" t="s">
        <v>39</v>
      </c>
      <c r="N87" t="s">
        <v>45</v>
      </c>
    </row>
    <row r="88" spans="1:14" x14ac:dyDescent="0.2">
      <c r="A88" t="s">
        <v>127</v>
      </c>
      <c r="B88" t="s">
        <v>32</v>
      </c>
      <c r="C88">
        <v>195.46</v>
      </c>
      <c r="D88">
        <v>3</v>
      </c>
      <c r="E88">
        <v>61.17</v>
      </c>
      <c r="F88">
        <v>155</v>
      </c>
      <c r="G88">
        <v>23.8</v>
      </c>
      <c r="H88">
        <v>2</v>
      </c>
      <c r="I88" t="s">
        <v>33</v>
      </c>
      <c r="J88">
        <v>0</v>
      </c>
      <c r="K88">
        <v>12.3</v>
      </c>
      <c r="L88">
        <v>7.5</v>
      </c>
      <c r="M88" t="s">
        <v>39</v>
      </c>
      <c r="N88" t="s">
        <v>43</v>
      </c>
    </row>
    <row r="89" spans="1:14" x14ac:dyDescent="0.2">
      <c r="A89" t="s">
        <v>128</v>
      </c>
      <c r="B89" t="s">
        <v>35</v>
      </c>
      <c r="C89">
        <v>375.46</v>
      </c>
      <c r="D89">
        <v>7</v>
      </c>
      <c r="E89">
        <v>57.2</v>
      </c>
      <c r="F89">
        <v>20</v>
      </c>
      <c r="G89">
        <v>46.4</v>
      </c>
      <c r="H89">
        <v>4</v>
      </c>
      <c r="I89" t="s">
        <v>33</v>
      </c>
      <c r="J89">
        <v>0</v>
      </c>
      <c r="K89">
        <v>36.799999999999997</v>
      </c>
      <c r="L89">
        <v>11</v>
      </c>
      <c r="M89" t="s">
        <v>29</v>
      </c>
      <c r="N89" t="s">
        <v>43</v>
      </c>
    </row>
    <row r="90" spans="1:14" x14ac:dyDescent="0.2">
      <c r="A90" t="s">
        <v>129</v>
      </c>
      <c r="B90" t="s">
        <v>32</v>
      </c>
      <c r="C90">
        <v>489.29</v>
      </c>
      <c r="D90">
        <v>7</v>
      </c>
      <c r="E90">
        <v>66.650000000000006</v>
      </c>
      <c r="F90">
        <v>27</v>
      </c>
      <c r="G90">
        <v>11.5</v>
      </c>
      <c r="H90">
        <v>4</v>
      </c>
      <c r="I90" t="s">
        <v>24</v>
      </c>
      <c r="J90">
        <v>10</v>
      </c>
      <c r="K90">
        <v>65</v>
      </c>
      <c r="L90">
        <v>17</v>
      </c>
      <c r="M90" t="s">
        <v>47</v>
      </c>
      <c r="N90" t="s">
        <v>45</v>
      </c>
    </row>
    <row r="91" spans="1:14" x14ac:dyDescent="0.2">
      <c r="A91" t="s">
        <v>130</v>
      </c>
      <c r="B91" t="s">
        <v>58</v>
      </c>
      <c r="C91">
        <v>249.52</v>
      </c>
      <c r="D91">
        <v>5</v>
      </c>
      <c r="E91">
        <v>49.58</v>
      </c>
      <c r="F91">
        <v>25</v>
      </c>
      <c r="G91">
        <v>36.9</v>
      </c>
      <c r="H91">
        <v>5</v>
      </c>
      <c r="I91" t="s">
        <v>33</v>
      </c>
      <c r="J91">
        <v>0</v>
      </c>
      <c r="K91">
        <v>51.4</v>
      </c>
      <c r="L91">
        <v>9.8000000000000007</v>
      </c>
      <c r="M91" t="s">
        <v>25</v>
      </c>
      <c r="N91" t="s">
        <v>45</v>
      </c>
    </row>
    <row r="92" spans="1:14" x14ac:dyDescent="0.2">
      <c r="A92" t="s">
        <v>131</v>
      </c>
      <c r="B92" t="s">
        <v>37</v>
      </c>
      <c r="C92">
        <v>203.56</v>
      </c>
      <c r="D92">
        <v>4</v>
      </c>
      <c r="E92">
        <v>54.86</v>
      </c>
      <c r="F92">
        <v>29</v>
      </c>
      <c r="G92">
        <v>25.8</v>
      </c>
      <c r="H92">
        <v>5</v>
      </c>
      <c r="I92" t="s">
        <v>24</v>
      </c>
      <c r="J92">
        <v>3</v>
      </c>
      <c r="K92">
        <v>58.5</v>
      </c>
      <c r="L92">
        <v>8.6999999999999993</v>
      </c>
      <c r="M92" t="s">
        <v>29</v>
      </c>
      <c r="N92" t="s">
        <v>40</v>
      </c>
    </row>
    <row r="93" spans="1:14" x14ac:dyDescent="0.2">
      <c r="A93" t="s">
        <v>132</v>
      </c>
      <c r="B93" t="s">
        <v>35</v>
      </c>
      <c r="C93">
        <v>212.62</v>
      </c>
      <c r="D93">
        <v>3</v>
      </c>
      <c r="E93">
        <v>75.53</v>
      </c>
      <c r="F93">
        <v>132</v>
      </c>
      <c r="G93">
        <v>21</v>
      </c>
      <c r="H93">
        <v>2</v>
      </c>
      <c r="I93" t="s">
        <v>24</v>
      </c>
      <c r="J93">
        <v>5</v>
      </c>
      <c r="K93">
        <v>24.8</v>
      </c>
      <c r="L93">
        <v>8.5</v>
      </c>
      <c r="M93" t="s">
        <v>39</v>
      </c>
      <c r="N93" t="s">
        <v>43</v>
      </c>
    </row>
    <row r="94" spans="1:14" x14ac:dyDescent="0.2">
      <c r="A94" t="s">
        <v>133</v>
      </c>
      <c r="B94" t="s">
        <v>32</v>
      </c>
      <c r="C94">
        <v>327.31</v>
      </c>
      <c r="D94">
        <v>7</v>
      </c>
      <c r="E94">
        <v>46.01</v>
      </c>
      <c r="F94">
        <v>60</v>
      </c>
      <c r="G94">
        <v>50.3</v>
      </c>
      <c r="H94">
        <v>1</v>
      </c>
      <c r="I94" t="s">
        <v>33</v>
      </c>
      <c r="J94">
        <v>0</v>
      </c>
      <c r="K94">
        <v>44.8</v>
      </c>
      <c r="L94">
        <v>15.9</v>
      </c>
      <c r="M94" t="s">
        <v>39</v>
      </c>
      <c r="N94" t="s">
        <v>43</v>
      </c>
    </row>
    <row r="95" spans="1:14" x14ac:dyDescent="0.2">
      <c r="A95" t="s">
        <v>134</v>
      </c>
      <c r="B95" t="s">
        <v>58</v>
      </c>
      <c r="C95">
        <v>106.91</v>
      </c>
      <c r="D95">
        <v>2</v>
      </c>
      <c r="E95">
        <v>53.35</v>
      </c>
      <c r="F95">
        <v>212</v>
      </c>
      <c r="G95">
        <v>31.5</v>
      </c>
      <c r="H95">
        <v>3</v>
      </c>
      <c r="I95" t="s">
        <v>33</v>
      </c>
      <c r="J95">
        <v>0</v>
      </c>
      <c r="K95">
        <v>13.9</v>
      </c>
      <c r="L95">
        <v>7.3</v>
      </c>
      <c r="M95" t="s">
        <v>29</v>
      </c>
      <c r="N95" t="s">
        <v>45</v>
      </c>
    </row>
    <row r="96" spans="1:14" x14ac:dyDescent="0.2">
      <c r="A96" t="s">
        <v>135</v>
      </c>
      <c r="B96" t="s">
        <v>32</v>
      </c>
      <c r="C96">
        <v>164.17</v>
      </c>
      <c r="D96">
        <v>5</v>
      </c>
      <c r="E96">
        <v>35.25</v>
      </c>
      <c r="F96">
        <v>36</v>
      </c>
      <c r="G96">
        <v>74.099999999999994</v>
      </c>
      <c r="H96">
        <v>3</v>
      </c>
      <c r="I96" t="s">
        <v>33</v>
      </c>
      <c r="J96">
        <v>0</v>
      </c>
      <c r="K96">
        <v>43.5</v>
      </c>
      <c r="L96">
        <v>19.2</v>
      </c>
      <c r="M96" t="s">
        <v>25</v>
      </c>
      <c r="N96" t="s">
        <v>43</v>
      </c>
    </row>
    <row r="97" spans="1:14" x14ac:dyDescent="0.2">
      <c r="A97" t="s">
        <v>136</v>
      </c>
      <c r="B97" t="s">
        <v>58</v>
      </c>
      <c r="C97">
        <v>498.47</v>
      </c>
      <c r="D97">
        <v>8</v>
      </c>
      <c r="E97">
        <v>64.58</v>
      </c>
      <c r="F97">
        <v>16</v>
      </c>
      <c r="G97">
        <v>4.0999999999999996</v>
      </c>
      <c r="H97">
        <v>3</v>
      </c>
      <c r="I97" t="s">
        <v>24</v>
      </c>
      <c r="J97">
        <v>11</v>
      </c>
      <c r="K97">
        <v>31.2</v>
      </c>
      <c r="L97">
        <v>18.3</v>
      </c>
      <c r="M97" t="s">
        <v>47</v>
      </c>
      <c r="N97" t="s">
        <v>40</v>
      </c>
    </row>
    <row r="98" spans="1:14" x14ac:dyDescent="0.2">
      <c r="A98" t="s">
        <v>137</v>
      </c>
      <c r="B98" t="s">
        <v>58</v>
      </c>
      <c r="C98">
        <v>113.6</v>
      </c>
      <c r="D98">
        <v>2</v>
      </c>
      <c r="E98">
        <v>58.74</v>
      </c>
      <c r="F98">
        <v>29</v>
      </c>
      <c r="G98">
        <v>11.4</v>
      </c>
      <c r="H98">
        <v>4</v>
      </c>
      <c r="I98" t="s">
        <v>33</v>
      </c>
      <c r="J98">
        <v>0</v>
      </c>
      <c r="K98">
        <v>52.8</v>
      </c>
      <c r="L98">
        <v>26.7</v>
      </c>
      <c r="M98" t="s">
        <v>29</v>
      </c>
      <c r="N98" t="s">
        <v>45</v>
      </c>
    </row>
    <row r="99" spans="1:14" x14ac:dyDescent="0.2">
      <c r="A99" t="s">
        <v>138</v>
      </c>
      <c r="B99" t="s">
        <v>23</v>
      </c>
      <c r="C99">
        <v>568.82000000000005</v>
      </c>
      <c r="D99">
        <v>7</v>
      </c>
      <c r="E99">
        <v>78.709999999999994</v>
      </c>
      <c r="F99">
        <v>14</v>
      </c>
      <c r="G99">
        <v>13.3</v>
      </c>
      <c r="H99">
        <v>3</v>
      </c>
      <c r="I99" t="s">
        <v>24</v>
      </c>
      <c r="J99">
        <v>8</v>
      </c>
      <c r="K99">
        <v>55.8</v>
      </c>
      <c r="L99">
        <v>21.4</v>
      </c>
      <c r="M99" t="s">
        <v>47</v>
      </c>
      <c r="N99" t="s">
        <v>43</v>
      </c>
    </row>
    <row r="100" spans="1:14" x14ac:dyDescent="0.2">
      <c r="A100" t="s">
        <v>139</v>
      </c>
      <c r="B100" t="s">
        <v>37</v>
      </c>
      <c r="C100">
        <v>142.82</v>
      </c>
      <c r="D100">
        <v>3</v>
      </c>
      <c r="E100">
        <v>44.38</v>
      </c>
      <c r="F100">
        <v>6</v>
      </c>
      <c r="G100">
        <v>8</v>
      </c>
      <c r="H100">
        <v>5</v>
      </c>
      <c r="I100" t="s">
        <v>33</v>
      </c>
      <c r="J100">
        <v>0</v>
      </c>
      <c r="K100">
        <v>53.1</v>
      </c>
      <c r="L100">
        <v>17.600000000000001</v>
      </c>
      <c r="M100" t="s">
        <v>25</v>
      </c>
      <c r="N100" t="s">
        <v>45</v>
      </c>
    </row>
    <row r="101" spans="1:14" x14ac:dyDescent="0.2">
      <c r="A101" t="s">
        <v>140</v>
      </c>
      <c r="B101" t="s">
        <v>37</v>
      </c>
      <c r="C101">
        <v>150.56</v>
      </c>
      <c r="D101">
        <v>4</v>
      </c>
      <c r="E101">
        <v>38.14</v>
      </c>
      <c r="F101">
        <v>72</v>
      </c>
      <c r="G101">
        <v>49.8</v>
      </c>
      <c r="H101">
        <v>3</v>
      </c>
      <c r="I101" t="s">
        <v>24</v>
      </c>
      <c r="J101">
        <v>3</v>
      </c>
      <c r="K101">
        <v>15.9</v>
      </c>
      <c r="L101">
        <v>6.4</v>
      </c>
      <c r="M101" t="s">
        <v>39</v>
      </c>
      <c r="N101" t="s">
        <v>45</v>
      </c>
    </row>
    <row r="102" spans="1:14" x14ac:dyDescent="0.2">
      <c r="A102" t="s">
        <v>141</v>
      </c>
      <c r="B102" t="s">
        <v>37</v>
      </c>
      <c r="C102">
        <v>483.88</v>
      </c>
      <c r="D102">
        <v>7</v>
      </c>
      <c r="E102">
        <v>70.69</v>
      </c>
      <c r="F102">
        <v>21</v>
      </c>
      <c r="G102">
        <v>12.5</v>
      </c>
      <c r="H102">
        <v>3</v>
      </c>
      <c r="I102" t="s">
        <v>33</v>
      </c>
      <c r="J102">
        <v>0</v>
      </c>
      <c r="K102">
        <v>70.7</v>
      </c>
      <c r="L102">
        <v>21.8</v>
      </c>
      <c r="M102" t="s">
        <v>39</v>
      </c>
      <c r="N102" t="s">
        <v>26</v>
      </c>
    </row>
    <row r="103" spans="1:14" x14ac:dyDescent="0.2">
      <c r="A103" t="s">
        <v>142</v>
      </c>
      <c r="B103" t="s">
        <v>35</v>
      </c>
      <c r="C103">
        <v>104.13</v>
      </c>
      <c r="D103">
        <v>2</v>
      </c>
      <c r="E103">
        <v>55.23</v>
      </c>
      <c r="F103">
        <v>150</v>
      </c>
      <c r="G103">
        <v>29.1</v>
      </c>
      <c r="H103">
        <v>2</v>
      </c>
      <c r="I103" t="s">
        <v>33</v>
      </c>
      <c r="J103">
        <v>0</v>
      </c>
      <c r="K103">
        <v>24.3</v>
      </c>
      <c r="L103">
        <v>5.2</v>
      </c>
      <c r="M103" t="s">
        <v>25</v>
      </c>
      <c r="N103" t="s">
        <v>40</v>
      </c>
    </row>
    <row r="104" spans="1:14" x14ac:dyDescent="0.2">
      <c r="A104" t="s">
        <v>143</v>
      </c>
      <c r="B104" t="s">
        <v>23</v>
      </c>
      <c r="C104">
        <v>179.45</v>
      </c>
      <c r="D104">
        <v>3</v>
      </c>
      <c r="E104">
        <v>57.7</v>
      </c>
      <c r="F104">
        <v>32</v>
      </c>
      <c r="G104">
        <v>23.9</v>
      </c>
      <c r="H104">
        <v>3</v>
      </c>
      <c r="I104" t="s">
        <v>33</v>
      </c>
      <c r="J104">
        <v>0</v>
      </c>
      <c r="K104">
        <v>28.4</v>
      </c>
      <c r="L104">
        <v>16.7</v>
      </c>
      <c r="M104" t="s">
        <v>29</v>
      </c>
      <c r="N104" t="s">
        <v>30</v>
      </c>
    </row>
    <row r="105" spans="1:14" x14ac:dyDescent="0.2">
      <c r="A105" t="s">
        <v>144</v>
      </c>
      <c r="B105" t="s">
        <v>58</v>
      </c>
      <c r="C105">
        <v>188.99</v>
      </c>
      <c r="D105">
        <v>3</v>
      </c>
      <c r="E105">
        <v>60.13</v>
      </c>
      <c r="F105">
        <v>219</v>
      </c>
      <c r="G105">
        <v>15.5</v>
      </c>
      <c r="H105">
        <v>1</v>
      </c>
      <c r="I105" t="s">
        <v>33</v>
      </c>
      <c r="J105">
        <v>0</v>
      </c>
      <c r="K105">
        <v>29.4</v>
      </c>
      <c r="L105">
        <v>4.2</v>
      </c>
      <c r="M105" t="s">
        <v>25</v>
      </c>
      <c r="N105" t="s">
        <v>45</v>
      </c>
    </row>
    <row r="106" spans="1:14" x14ac:dyDescent="0.2">
      <c r="A106" t="s">
        <v>145</v>
      </c>
      <c r="B106" t="s">
        <v>28</v>
      </c>
      <c r="C106">
        <v>436.97</v>
      </c>
      <c r="D106">
        <v>7</v>
      </c>
      <c r="E106">
        <v>60.6</v>
      </c>
      <c r="F106">
        <v>32</v>
      </c>
      <c r="G106">
        <v>28.6</v>
      </c>
      <c r="H106">
        <v>5</v>
      </c>
      <c r="I106" t="s">
        <v>24</v>
      </c>
      <c r="J106">
        <v>2</v>
      </c>
      <c r="K106">
        <v>59.7</v>
      </c>
      <c r="L106">
        <v>20.9</v>
      </c>
      <c r="M106" t="s">
        <v>25</v>
      </c>
      <c r="N106" t="s">
        <v>43</v>
      </c>
    </row>
    <row r="107" spans="1:14" x14ac:dyDescent="0.2">
      <c r="A107" t="s">
        <v>146</v>
      </c>
      <c r="B107" t="s">
        <v>23</v>
      </c>
      <c r="C107">
        <v>116.18</v>
      </c>
      <c r="D107">
        <v>3</v>
      </c>
      <c r="E107">
        <v>41.91</v>
      </c>
      <c r="F107">
        <v>90</v>
      </c>
      <c r="G107">
        <v>17.899999999999999</v>
      </c>
      <c r="H107">
        <v>1</v>
      </c>
      <c r="I107" t="s">
        <v>33</v>
      </c>
      <c r="J107">
        <v>0</v>
      </c>
      <c r="K107">
        <v>14.3</v>
      </c>
      <c r="L107">
        <v>3.7</v>
      </c>
      <c r="M107" t="s">
        <v>55</v>
      </c>
      <c r="N107" t="s">
        <v>45</v>
      </c>
    </row>
    <row r="108" spans="1:14" x14ac:dyDescent="0.2">
      <c r="A108" t="s">
        <v>147</v>
      </c>
      <c r="B108" t="s">
        <v>23</v>
      </c>
      <c r="C108">
        <v>274.04000000000002</v>
      </c>
      <c r="D108">
        <v>4</v>
      </c>
      <c r="E108">
        <v>71.75</v>
      </c>
      <c r="F108">
        <v>130</v>
      </c>
      <c r="G108">
        <v>16.399999999999999</v>
      </c>
      <c r="H108">
        <v>1</v>
      </c>
      <c r="I108" t="s">
        <v>33</v>
      </c>
      <c r="J108">
        <v>0</v>
      </c>
      <c r="K108">
        <v>15.6</v>
      </c>
      <c r="L108">
        <v>0.1</v>
      </c>
      <c r="M108" t="s">
        <v>29</v>
      </c>
      <c r="N108" t="s">
        <v>43</v>
      </c>
    </row>
    <row r="109" spans="1:14" x14ac:dyDescent="0.2">
      <c r="A109" t="s">
        <v>148</v>
      </c>
      <c r="B109" t="s">
        <v>32</v>
      </c>
      <c r="C109">
        <v>434.36</v>
      </c>
      <c r="D109">
        <v>7</v>
      </c>
      <c r="E109">
        <v>57.76</v>
      </c>
      <c r="F109">
        <v>20</v>
      </c>
      <c r="G109">
        <v>28.8</v>
      </c>
      <c r="H109">
        <v>5</v>
      </c>
      <c r="I109" t="s">
        <v>33</v>
      </c>
      <c r="J109">
        <v>0</v>
      </c>
      <c r="K109">
        <v>48.1</v>
      </c>
      <c r="L109">
        <v>10.6</v>
      </c>
      <c r="M109" t="s">
        <v>47</v>
      </c>
      <c r="N109" t="s">
        <v>26</v>
      </c>
    </row>
    <row r="110" spans="1:14" x14ac:dyDescent="0.2">
      <c r="A110" t="s">
        <v>149</v>
      </c>
      <c r="B110" t="s">
        <v>37</v>
      </c>
      <c r="C110">
        <v>527.16999999999996</v>
      </c>
      <c r="D110">
        <v>7</v>
      </c>
      <c r="E110">
        <v>70.900000000000006</v>
      </c>
      <c r="F110">
        <v>19</v>
      </c>
      <c r="G110">
        <v>11.5</v>
      </c>
      <c r="H110">
        <v>3</v>
      </c>
      <c r="I110" t="s">
        <v>24</v>
      </c>
      <c r="J110">
        <v>18</v>
      </c>
      <c r="K110">
        <v>54.9</v>
      </c>
      <c r="L110">
        <v>17.100000000000001</v>
      </c>
      <c r="M110" t="s">
        <v>29</v>
      </c>
      <c r="N110" t="s">
        <v>40</v>
      </c>
    </row>
    <row r="111" spans="1:14" x14ac:dyDescent="0.2">
      <c r="A111" t="s">
        <v>150</v>
      </c>
      <c r="B111" t="s">
        <v>37</v>
      </c>
      <c r="C111">
        <v>362.06</v>
      </c>
      <c r="D111">
        <v>8</v>
      </c>
      <c r="E111">
        <v>44.96</v>
      </c>
      <c r="F111">
        <v>48</v>
      </c>
      <c r="G111">
        <v>46.7</v>
      </c>
      <c r="H111">
        <v>1</v>
      </c>
      <c r="I111" t="s">
        <v>33</v>
      </c>
      <c r="J111">
        <v>0</v>
      </c>
      <c r="K111">
        <v>26.7</v>
      </c>
      <c r="L111">
        <v>10.7</v>
      </c>
      <c r="M111" t="s">
        <v>47</v>
      </c>
      <c r="N111" t="s">
        <v>26</v>
      </c>
    </row>
    <row r="112" spans="1:14" x14ac:dyDescent="0.2">
      <c r="A112" t="s">
        <v>151</v>
      </c>
      <c r="B112" t="s">
        <v>23</v>
      </c>
      <c r="C112">
        <v>382.33</v>
      </c>
      <c r="D112">
        <v>5</v>
      </c>
      <c r="E112">
        <v>78.38</v>
      </c>
      <c r="F112">
        <v>2</v>
      </c>
      <c r="G112">
        <v>15</v>
      </c>
      <c r="H112">
        <v>3</v>
      </c>
      <c r="I112" t="s">
        <v>24</v>
      </c>
      <c r="J112">
        <v>6</v>
      </c>
      <c r="K112">
        <v>45.6</v>
      </c>
      <c r="L112">
        <v>16.3</v>
      </c>
      <c r="M112" t="s">
        <v>47</v>
      </c>
      <c r="N112" t="s">
        <v>43</v>
      </c>
    </row>
    <row r="113" spans="1:14" x14ac:dyDescent="0.2">
      <c r="A113" t="s">
        <v>152</v>
      </c>
      <c r="B113" t="s">
        <v>37</v>
      </c>
      <c r="C113">
        <v>244.41</v>
      </c>
      <c r="D113">
        <v>5</v>
      </c>
      <c r="E113">
        <v>48.35</v>
      </c>
      <c r="F113">
        <v>72</v>
      </c>
      <c r="G113">
        <v>28.4</v>
      </c>
      <c r="H113">
        <v>4</v>
      </c>
      <c r="I113" t="s">
        <v>33</v>
      </c>
      <c r="J113">
        <v>0</v>
      </c>
      <c r="K113">
        <v>50.9</v>
      </c>
      <c r="L113">
        <v>17.5</v>
      </c>
      <c r="M113" t="s">
        <v>47</v>
      </c>
      <c r="N113" t="s">
        <v>40</v>
      </c>
    </row>
    <row r="114" spans="1:14" x14ac:dyDescent="0.2">
      <c r="A114" t="s">
        <v>153</v>
      </c>
      <c r="B114" t="s">
        <v>28</v>
      </c>
      <c r="C114">
        <v>132.34</v>
      </c>
      <c r="D114">
        <v>2</v>
      </c>
      <c r="E114">
        <v>62.47</v>
      </c>
      <c r="F114">
        <v>33</v>
      </c>
      <c r="G114">
        <v>21.3</v>
      </c>
      <c r="H114">
        <v>6</v>
      </c>
      <c r="I114" t="s">
        <v>24</v>
      </c>
      <c r="J114">
        <v>3</v>
      </c>
      <c r="K114">
        <v>50.7</v>
      </c>
      <c r="L114">
        <v>21.8</v>
      </c>
      <c r="M114" t="s">
        <v>39</v>
      </c>
      <c r="N114" t="s">
        <v>40</v>
      </c>
    </row>
    <row r="115" spans="1:14" x14ac:dyDescent="0.2">
      <c r="A115" t="s">
        <v>154</v>
      </c>
      <c r="B115" t="s">
        <v>32</v>
      </c>
      <c r="C115">
        <v>586.58000000000004</v>
      </c>
      <c r="D115">
        <v>8</v>
      </c>
      <c r="E115">
        <v>68.08</v>
      </c>
      <c r="F115">
        <v>19</v>
      </c>
      <c r="G115">
        <v>13.6</v>
      </c>
      <c r="H115">
        <v>4</v>
      </c>
      <c r="I115" t="s">
        <v>33</v>
      </c>
      <c r="J115">
        <v>0</v>
      </c>
      <c r="K115">
        <v>51.6</v>
      </c>
      <c r="L115">
        <v>15.4</v>
      </c>
      <c r="M115" t="s">
        <v>39</v>
      </c>
      <c r="N115" t="s">
        <v>30</v>
      </c>
    </row>
    <row r="116" spans="1:14" x14ac:dyDescent="0.2">
      <c r="A116" t="s">
        <v>155</v>
      </c>
      <c r="B116" t="s">
        <v>35</v>
      </c>
      <c r="C116">
        <v>67.27</v>
      </c>
      <c r="D116">
        <v>1</v>
      </c>
      <c r="E116">
        <v>68.510000000000005</v>
      </c>
      <c r="F116">
        <v>60</v>
      </c>
      <c r="G116">
        <v>21.5</v>
      </c>
      <c r="H116">
        <v>3</v>
      </c>
      <c r="I116" t="s">
        <v>33</v>
      </c>
      <c r="J116">
        <v>0</v>
      </c>
      <c r="K116">
        <v>27.1</v>
      </c>
      <c r="L116">
        <v>2.8</v>
      </c>
      <c r="M116" t="s">
        <v>29</v>
      </c>
      <c r="N116" t="s">
        <v>30</v>
      </c>
    </row>
    <row r="117" spans="1:14" x14ac:dyDescent="0.2">
      <c r="A117" t="s">
        <v>156</v>
      </c>
      <c r="B117" t="s">
        <v>32</v>
      </c>
      <c r="C117">
        <v>185.06</v>
      </c>
      <c r="D117">
        <v>2</v>
      </c>
      <c r="E117">
        <v>86.24</v>
      </c>
      <c r="F117">
        <v>39</v>
      </c>
      <c r="G117">
        <v>36.6</v>
      </c>
      <c r="H117">
        <v>4</v>
      </c>
      <c r="I117" t="s">
        <v>33</v>
      </c>
      <c r="J117">
        <v>0</v>
      </c>
      <c r="K117">
        <v>50.9</v>
      </c>
      <c r="L117">
        <v>15.1</v>
      </c>
      <c r="M117" t="s">
        <v>55</v>
      </c>
      <c r="N117" t="s">
        <v>43</v>
      </c>
    </row>
    <row r="118" spans="1:14" x14ac:dyDescent="0.2">
      <c r="A118" t="s">
        <v>157</v>
      </c>
      <c r="B118" t="s">
        <v>32</v>
      </c>
      <c r="C118">
        <v>701.44</v>
      </c>
      <c r="D118">
        <v>10</v>
      </c>
      <c r="E118">
        <v>70.03</v>
      </c>
      <c r="F118">
        <v>21</v>
      </c>
      <c r="G118">
        <v>11.1</v>
      </c>
      <c r="H118">
        <v>5</v>
      </c>
      <c r="I118" t="s">
        <v>33</v>
      </c>
      <c r="J118">
        <v>0</v>
      </c>
      <c r="K118">
        <v>54.4</v>
      </c>
      <c r="L118">
        <v>21</v>
      </c>
      <c r="M118" t="s">
        <v>53</v>
      </c>
      <c r="N118" t="s">
        <v>43</v>
      </c>
    </row>
    <row r="119" spans="1:14" x14ac:dyDescent="0.2">
      <c r="A119" t="s">
        <v>158</v>
      </c>
      <c r="B119" t="s">
        <v>37</v>
      </c>
      <c r="C119">
        <v>168.12</v>
      </c>
      <c r="D119">
        <v>3</v>
      </c>
      <c r="E119">
        <v>57.34</v>
      </c>
      <c r="F119">
        <v>122</v>
      </c>
      <c r="G119">
        <v>21.8</v>
      </c>
      <c r="H119">
        <v>3</v>
      </c>
      <c r="I119" t="s">
        <v>33</v>
      </c>
      <c r="J119">
        <v>0</v>
      </c>
      <c r="K119">
        <v>29.6</v>
      </c>
      <c r="L119">
        <v>3.8</v>
      </c>
      <c r="M119" t="s">
        <v>55</v>
      </c>
      <c r="N119" t="s">
        <v>43</v>
      </c>
    </row>
    <row r="120" spans="1:14" x14ac:dyDescent="0.2">
      <c r="A120" t="s">
        <v>159</v>
      </c>
      <c r="B120" t="s">
        <v>32</v>
      </c>
      <c r="C120">
        <v>163.84</v>
      </c>
      <c r="D120">
        <v>3</v>
      </c>
      <c r="E120">
        <v>52.36</v>
      </c>
      <c r="F120">
        <v>52</v>
      </c>
      <c r="G120">
        <v>34.6</v>
      </c>
      <c r="H120">
        <v>5</v>
      </c>
      <c r="I120" t="s">
        <v>24</v>
      </c>
      <c r="J120">
        <v>9</v>
      </c>
      <c r="K120">
        <v>55.2</v>
      </c>
      <c r="L120">
        <v>15.1</v>
      </c>
      <c r="M120" t="s">
        <v>25</v>
      </c>
      <c r="N120" t="s">
        <v>30</v>
      </c>
    </row>
    <row r="121" spans="1:14" x14ac:dyDescent="0.2">
      <c r="A121" t="s">
        <v>160</v>
      </c>
      <c r="B121" t="s">
        <v>58</v>
      </c>
      <c r="C121">
        <v>468.38</v>
      </c>
      <c r="D121">
        <v>6</v>
      </c>
      <c r="E121">
        <v>83.89</v>
      </c>
      <c r="F121">
        <v>28</v>
      </c>
      <c r="G121">
        <v>16.2</v>
      </c>
      <c r="H121">
        <v>5</v>
      </c>
      <c r="I121" t="s">
        <v>24</v>
      </c>
      <c r="J121">
        <v>8</v>
      </c>
      <c r="K121">
        <v>55.7</v>
      </c>
      <c r="L121">
        <v>7.8</v>
      </c>
      <c r="M121" t="s">
        <v>47</v>
      </c>
      <c r="N121" t="s">
        <v>45</v>
      </c>
    </row>
    <row r="122" spans="1:14" x14ac:dyDescent="0.2">
      <c r="A122" t="s">
        <v>161</v>
      </c>
      <c r="B122" t="s">
        <v>32</v>
      </c>
      <c r="C122">
        <v>42.38</v>
      </c>
      <c r="D122">
        <v>1</v>
      </c>
      <c r="E122">
        <v>45.49</v>
      </c>
      <c r="F122">
        <v>54</v>
      </c>
      <c r="G122">
        <v>18.899999999999999</v>
      </c>
      <c r="H122">
        <v>2</v>
      </c>
      <c r="I122" t="s">
        <v>24</v>
      </c>
      <c r="J122">
        <v>5</v>
      </c>
      <c r="K122">
        <v>22</v>
      </c>
      <c r="L122">
        <v>4.5</v>
      </c>
      <c r="M122" t="s">
        <v>55</v>
      </c>
      <c r="N122" t="s">
        <v>45</v>
      </c>
    </row>
    <row r="123" spans="1:14" x14ac:dyDescent="0.2">
      <c r="A123" t="s">
        <v>162</v>
      </c>
      <c r="B123" t="s">
        <v>32</v>
      </c>
      <c r="C123">
        <v>186.2</v>
      </c>
      <c r="D123">
        <v>6</v>
      </c>
      <c r="E123">
        <v>29.14</v>
      </c>
      <c r="F123">
        <v>24</v>
      </c>
      <c r="G123">
        <v>38.799999999999997</v>
      </c>
      <c r="H123">
        <v>2</v>
      </c>
      <c r="I123" t="s">
        <v>33</v>
      </c>
      <c r="J123">
        <v>0</v>
      </c>
      <c r="K123">
        <v>36.5</v>
      </c>
      <c r="L123">
        <v>12.8</v>
      </c>
      <c r="M123" t="s">
        <v>25</v>
      </c>
      <c r="N123" t="s">
        <v>45</v>
      </c>
    </row>
    <row r="124" spans="1:14" x14ac:dyDescent="0.2">
      <c r="A124" t="s">
        <v>163</v>
      </c>
      <c r="B124" t="s">
        <v>23</v>
      </c>
      <c r="C124">
        <v>169.8</v>
      </c>
      <c r="D124">
        <v>4</v>
      </c>
      <c r="E124">
        <v>39.97</v>
      </c>
      <c r="F124">
        <v>12</v>
      </c>
      <c r="G124">
        <v>32.4</v>
      </c>
      <c r="H124">
        <v>5</v>
      </c>
      <c r="I124" t="s">
        <v>24</v>
      </c>
      <c r="J124">
        <v>8</v>
      </c>
      <c r="K124">
        <v>39.5</v>
      </c>
      <c r="L124">
        <v>14.7</v>
      </c>
      <c r="M124" t="s">
        <v>25</v>
      </c>
      <c r="N124" t="s">
        <v>26</v>
      </c>
    </row>
    <row r="125" spans="1:14" x14ac:dyDescent="0.2">
      <c r="A125" t="s">
        <v>164</v>
      </c>
      <c r="B125" t="s">
        <v>37</v>
      </c>
      <c r="C125">
        <v>125.11</v>
      </c>
      <c r="D125">
        <v>2</v>
      </c>
      <c r="E125">
        <v>59.65</v>
      </c>
      <c r="F125">
        <v>57</v>
      </c>
      <c r="G125">
        <v>44</v>
      </c>
      <c r="H125">
        <v>5</v>
      </c>
      <c r="I125" t="s">
        <v>24</v>
      </c>
      <c r="J125">
        <v>6</v>
      </c>
      <c r="K125">
        <v>56.4</v>
      </c>
      <c r="L125">
        <v>15.8</v>
      </c>
      <c r="M125" t="s">
        <v>47</v>
      </c>
      <c r="N125" t="s">
        <v>43</v>
      </c>
    </row>
    <row r="126" spans="1:14" x14ac:dyDescent="0.2">
      <c r="A126" t="s">
        <v>165</v>
      </c>
      <c r="B126" t="s">
        <v>37</v>
      </c>
      <c r="C126">
        <v>538.51</v>
      </c>
      <c r="D126">
        <v>7</v>
      </c>
      <c r="E126">
        <v>82.84</v>
      </c>
      <c r="F126">
        <v>25</v>
      </c>
      <c r="G126">
        <v>29.9</v>
      </c>
      <c r="H126">
        <v>4</v>
      </c>
      <c r="I126" t="s">
        <v>24</v>
      </c>
      <c r="J126">
        <v>2</v>
      </c>
      <c r="K126">
        <v>51.4</v>
      </c>
      <c r="L126">
        <v>8.3000000000000007</v>
      </c>
      <c r="M126" t="s">
        <v>39</v>
      </c>
      <c r="N126" t="s">
        <v>26</v>
      </c>
    </row>
    <row r="127" spans="1:14" x14ac:dyDescent="0.2">
      <c r="A127" t="s">
        <v>166</v>
      </c>
      <c r="B127" t="s">
        <v>23</v>
      </c>
      <c r="C127">
        <v>190.89</v>
      </c>
      <c r="D127">
        <v>4</v>
      </c>
      <c r="E127">
        <v>50.97</v>
      </c>
      <c r="F127">
        <v>39</v>
      </c>
      <c r="G127">
        <v>48</v>
      </c>
      <c r="H127">
        <v>2</v>
      </c>
      <c r="I127" t="s">
        <v>33</v>
      </c>
      <c r="J127">
        <v>0</v>
      </c>
      <c r="K127">
        <v>39.6</v>
      </c>
      <c r="L127">
        <v>6.6</v>
      </c>
      <c r="M127" t="s">
        <v>53</v>
      </c>
      <c r="N127" t="s">
        <v>30</v>
      </c>
    </row>
    <row r="128" spans="1:14" x14ac:dyDescent="0.2">
      <c r="A128" t="s">
        <v>167</v>
      </c>
      <c r="B128" t="s">
        <v>32</v>
      </c>
      <c r="C128">
        <v>342.28</v>
      </c>
      <c r="D128">
        <v>7</v>
      </c>
      <c r="E128">
        <v>45.89</v>
      </c>
      <c r="F128">
        <v>26</v>
      </c>
      <c r="G128">
        <v>17.8</v>
      </c>
      <c r="H128">
        <v>5</v>
      </c>
      <c r="I128" t="s">
        <v>33</v>
      </c>
      <c r="J128">
        <v>0</v>
      </c>
      <c r="K128">
        <v>46.4</v>
      </c>
      <c r="L128">
        <v>17.7</v>
      </c>
      <c r="M128" t="s">
        <v>25</v>
      </c>
      <c r="N128" t="s">
        <v>43</v>
      </c>
    </row>
    <row r="129" spans="1:14" x14ac:dyDescent="0.2">
      <c r="A129" t="s">
        <v>168</v>
      </c>
      <c r="B129" t="s">
        <v>32</v>
      </c>
      <c r="C129">
        <v>292.95</v>
      </c>
      <c r="D129">
        <v>5</v>
      </c>
      <c r="E129">
        <v>57.07</v>
      </c>
      <c r="F129">
        <v>24</v>
      </c>
      <c r="G129">
        <v>28.7</v>
      </c>
      <c r="H129">
        <v>2</v>
      </c>
      <c r="I129" t="s">
        <v>33</v>
      </c>
      <c r="J129">
        <v>0</v>
      </c>
      <c r="K129">
        <v>46.7</v>
      </c>
      <c r="L129">
        <v>15.6</v>
      </c>
      <c r="M129" t="s">
        <v>47</v>
      </c>
      <c r="N129" t="s">
        <v>45</v>
      </c>
    </row>
    <row r="130" spans="1:14" x14ac:dyDescent="0.2">
      <c r="A130" t="s">
        <v>169</v>
      </c>
      <c r="B130" t="s">
        <v>37</v>
      </c>
      <c r="C130">
        <v>167.01</v>
      </c>
      <c r="D130">
        <v>4</v>
      </c>
      <c r="E130">
        <v>42.71</v>
      </c>
      <c r="F130">
        <v>27</v>
      </c>
      <c r="G130">
        <v>50.4</v>
      </c>
      <c r="H130">
        <v>2</v>
      </c>
      <c r="I130" t="s">
        <v>33</v>
      </c>
      <c r="J130">
        <v>0</v>
      </c>
      <c r="K130">
        <v>33.6</v>
      </c>
      <c r="L130">
        <v>10.6</v>
      </c>
      <c r="M130" t="s">
        <v>25</v>
      </c>
      <c r="N130" t="s">
        <v>43</v>
      </c>
    </row>
    <row r="131" spans="1:14" x14ac:dyDescent="0.2">
      <c r="A131" t="s">
        <v>170</v>
      </c>
      <c r="B131" t="s">
        <v>58</v>
      </c>
      <c r="C131">
        <v>334.83</v>
      </c>
      <c r="D131">
        <v>5</v>
      </c>
      <c r="E131">
        <v>63.41</v>
      </c>
      <c r="F131">
        <v>2</v>
      </c>
      <c r="G131">
        <v>11.6</v>
      </c>
      <c r="H131">
        <v>4</v>
      </c>
      <c r="I131" t="s">
        <v>24</v>
      </c>
      <c r="J131">
        <v>4</v>
      </c>
      <c r="K131">
        <v>60.4</v>
      </c>
      <c r="L131">
        <v>11.4</v>
      </c>
      <c r="M131" t="s">
        <v>25</v>
      </c>
      <c r="N131" t="s">
        <v>26</v>
      </c>
    </row>
    <row r="132" spans="1:14" x14ac:dyDescent="0.2">
      <c r="A132" t="s">
        <v>171</v>
      </c>
      <c r="B132" t="s">
        <v>23</v>
      </c>
      <c r="C132">
        <v>558.74</v>
      </c>
      <c r="D132">
        <v>9</v>
      </c>
      <c r="E132">
        <v>60.61</v>
      </c>
      <c r="F132">
        <v>23</v>
      </c>
      <c r="G132">
        <v>18.2</v>
      </c>
      <c r="H132">
        <v>4</v>
      </c>
      <c r="I132" t="s">
        <v>24</v>
      </c>
      <c r="J132">
        <v>7</v>
      </c>
      <c r="K132">
        <v>47.1</v>
      </c>
      <c r="L132">
        <v>13.9</v>
      </c>
      <c r="M132" t="s">
        <v>25</v>
      </c>
      <c r="N132" t="s">
        <v>26</v>
      </c>
    </row>
    <row r="133" spans="1:14" x14ac:dyDescent="0.2">
      <c r="A133" t="s">
        <v>172</v>
      </c>
      <c r="B133" t="s">
        <v>37</v>
      </c>
      <c r="C133">
        <v>127.32</v>
      </c>
      <c r="D133">
        <v>2</v>
      </c>
      <c r="E133">
        <v>68.510000000000005</v>
      </c>
      <c r="F133">
        <v>213</v>
      </c>
      <c r="G133">
        <v>10.1</v>
      </c>
      <c r="H133">
        <v>1</v>
      </c>
      <c r="I133" t="s">
        <v>33</v>
      </c>
      <c r="J133">
        <v>0</v>
      </c>
      <c r="K133">
        <v>27.1</v>
      </c>
      <c r="L133">
        <v>2.4</v>
      </c>
      <c r="M133" t="s">
        <v>47</v>
      </c>
      <c r="N133" t="s">
        <v>45</v>
      </c>
    </row>
    <row r="134" spans="1:14" x14ac:dyDescent="0.2">
      <c r="A134" t="s">
        <v>173</v>
      </c>
      <c r="B134" t="s">
        <v>37</v>
      </c>
      <c r="C134">
        <v>356.5</v>
      </c>
      <c r="D134">
        <v>5</v>
      </c>
      <c r="E134">
        <v>72.41</v>
      </c>
      <c r="F134">
        <v>32</v>
      </c>
      <c r="G134">
        <v>6</v>
      </c>
      <c r="H134">
        <v>3</v>
      </c>
      <c r="I134" t="s">
        <v>24</v>
      </c>
      <c r="J134">
        <v>5</v>
      </c>
      <c r="K134">
        <v>42.4</v>
      </c>
      <c r="L134">
        <v>14.9</v>
      </c>
      <c r="M134" t="s">
        <v>47</v>
      </c>
      <c r="N134" t="s">
        <v>30</v>
      </c>
    </row>
    <row r="135" spans="1:14" x14ac:dyDescent="0.2">
      <c r="A135" t="s">
        <v>174</v>
      </c>
      <c r="B135" t="s">
        <v>23</v>
      </c>
      <c r="C135">
        <v>186.47</v>
      </c>
      <c r="D135">
        <v>2</v>
      </c>
      <c r="E135">
        <v>96.13</v>
      </c>
      <c r="F135">
        <v>23</v>
      </c>
      <c r="G135">
        <v>16.7</v>
      </c>
      <c r="H135">
        <v>3</v>
      </c>
      <c r="I135" t="s">
        <v>33</v>
      </c>
      <c r="J135">
        <v>0</v>
      </c>
      <c r="K135">
        <v>80.2</v>
      </c>
      <c r="L135">
        <v>17.100000000000001</v>
      </c>
      <c r="M135" t="s">
        <v>39</v>
      </c>
      <c r="N135" t="s">
        <v>26</v>
      </c>
    </row>
    <row r="136" spans="1:14" x14ac:dyDescent="0.2">
      <c r="A136" t="s">
        <v>175</v>
      </c>
      <c r="B136" t="s">
        <v>28</v>
      </c>
      <c r="C136">
        <v>714.68</v>
      </c>
      <c r="D136">
        <v>9</v>
      </c>
      <c r="E136">
        <v>79.180000000000007</v>
      </c>
      <c r="F136">
        <v>24</v>
      </c>
      <c r="G136">
        <v>14.6</v>
      </c>
      <c r="H136">
        <v>4</v>
      </c>
      <c r="I136" t="s">
        <v>24</v>
      </c>
      <c r="J136">
        <v>14</v>
      </c>
      <c r="K136">
        <v>67.8</v>
      </c>
      <c r="L136">
        <v>12.3</v>
      </c>
      <c r="M136" t="s">
        <v>29</v>
      </c>
      <c r="N136" t="s">
        <v>26</v>
      </c>
    </row>
    <row r="137" spans="1:14" x14ac:dyDescent="0.2">
      <c r="A137" t="s">
        <v>176</v>
      </c>
      <c r="B137" t="s">
        <v>23</v>
      </c>
      <c r="C137">
        <v>36.21</v>
      </c>
      <c r="D137">
        <v>1</v>
      </c>
      <c r="E137">
        <v>37.39</v>
      </c>
      <c r="F137">
        <v>142</v>
      </c>
      <c r="G137">
        <v>23.6</v>
      </c>
      <c r="H137">
        <v>2</v>
      </c>
      <c r="I137" t="s">
        <v>33</v>
      </c>
      <c r="J137">
        <v>0</v>
      </c>
      <c r="K137">
        <v>24</v>
      </c>
      <c r="L137">
        <v>0</v>
      </c>
      <c r="M137" t="s">
        <v>53</v>
      </c>
      <c r="N137" t="s">
        <v>30</v>
      </c>
    </row>
    <row r="138" spans="1:14" x14ac:dyDescent="0.2">
      <c r="A138" t="s">
        <v>177</v>
      </c>
      <c r="B138" t="s">
        <v>58</v>
      </c>
      <c r="C138">
        <v>157.46</v>
      </c>
      <c r="D138">
        <v>4</v>
      </c>
      <c r="E138">
        <v>41.17</v>
      </c>
      <c r="F138">
        <v>36</v>
      </c>
      <c r="G138">
        <v>28.3</v>
      </c>
      <c r="H138">
        <v>4</v>
      </c>
      <c r="I138" t="s">
        <v>24</v>
      </c>
      <c r="J138">
        <v>7</v>
      </c>
      <c r="K138">
        <v>38.5</v>
      </c>
      <c r="L138">
        <v>9.1999999999999993</v>
      </c>
      <c r="M138" t="s">
        <v>29</v>
      </c>
      <c r="N138" t="s">
        <v>26</v>
      </c>
    </row>
    <row r="139" spans="1:14" x14ac:dyDescent="0.2">
      <c r="A139" t="s">
        <v>178</v>
      </c>
      <c r="B139" t="s">
        <v>35</v>
      </c>
      <c r="C139">
        <v>103.19</v>
      </c>
      <c r="D139">
        <v>2</v>
      </c>
      <c r="E139">
        <v>50.5</v>
      </c>
      <c r="F139">
        <v>197</v>
      </c>
      <c r="G139">
        <v>18.8</v>
      </c>
      <c r="H139">
        <v>2</v>
      </c>
      <c r="I139" t="s">
        <v>33</v>
      </c>
      <c r="J139">
        <v>0</v>
      </c>
      <c r="K139">
        <v>24.6</v>
      </c>
      <c r="L139">
        <v>3.9</v>
      </c>
      <c r="M139" t="s">
        <v>47</v>
      </c>
      <c r="N139" t="s">
        <v>45</v>
      </c>
    </row>
    <row r="140" spans="1:14" x14ac:dyDescent="0.2">
      <c r="A140" t="s">
        <v>179</v>
      </c>
      <c r="B140" t="s">
        <v>23</v>
      </c>
      <c r="C140">
        <v>632.67999999999995</v>
      </c>
      <c r="D140">
        <v>11</v>
      </c>
      <c r="E140">
        <v>61.85</v>
      </c>
      <c r="F140">
        <v>8</v>
      </c>
      <c r="G140">
        <v>7.1</v>
      </c>
      <c r="H140">
        <v>3</v>
      </c>
      <c r="I140" t="s">
        <v>24</v>
      </c>
      <c r="J140">
        <v>13</v>
      </c>
      <c r="K140">
        <v>60</v>
      </c>
      <c r="L140">
        <v>19.100000000000001</v>
      </c>
      <c r="M140" t="s">
        <v>39</v>
      </c>
      <c r="N140" t="s">
        <v>30</v>
      </c>
    </row>
    <row r="141" spans="1:14" x14ac:dyDescent="0.2">
      <c r="A141" t="s">
        <v>180</v>
      </c>
      <c r="B141" t="s">
        <v>28</v>
      </c>
      <c r="C141">
        <v>233.35</v>
      </c>
      <c r="D141">
        <v>4</v>
      </c>
      <c r="E141">
        <v>58.72</v>
      </c>
      <c r="F141">
        <v>43</v>
      </c>
      <c r="G141">
        <v>28.7</v>
      </c>
      <c r="H141">
        <v>5</v>
      </c>
      <c r="I141" t="s">
        <v>24</v>
      </c>
      <c r="J141">
        <v>6</v>
      </c>
      <c r="K141">
        <v>46.4</v>
      </c>
      <c r="L141">
        <v>7.5</v>
      </c>
      <c r="M141" t="s">
        <v>29</v>
      </c>
      <c r="N141" t="s">
        <v>26</v>
      </c>
    </row>
    <row r="142" spans="1:14" x14ac:dyDescent="0.2">
      <c r="A142" t="s">
        <v>181</v>
      </c>
      <c r="B142" t="s">
        <v>28</v>
      </c>
      <c r="C142">
        <v>52.18</v>
      </c>
      <c r="D142">
        <v>1</v>
      </c>
      <c r="E142">
        <v>54.27</v>
      </c>
      <c r="F142">
        <v>34</v>
      </c>
      <c r="G142">
        <v>30.9</v>
      </c>
      <c r="H142">
        <v>2</v>
      </c>
      <c r="I142" t="s">
        <v>33</v>
      </c>
      <c r="J142">
        <v>0</v>
      </c>
      <c r="K142">
        <v>43.9</v>
      </c>
      <c r="L142">
        <v>10.199999999999999</v>
      </c>
      <c r="M142" t="s">
        <v>39</v>
      </c>
      <c r="N142" t="s">
        <v>26</v>
      </c>
    </row>
    <row r="143" spans="1:14" x14ac:dyDescent="0.2">
      <c r="A143" t="s">
        <v>182</v>
      </c>
      <c r="B143" t="s">
        <v>23</v>
      </c>
      <c r="C143">
        <v>405.97</v>
      </c>
      <c r="D143">
        <v>5</v>
      </c>
      <c r="E143">
        <v>76.22</v>
      </c>
      <c r="F143">
        <v>38</v>
      </c>
      <c r="G143">
        <v>12.4</v>
      </c>
      <c r="H143">
        <v>4</v>
      </c>
      <c r="I143" t="s">
        <v>33</v>
      </c>
      <c r="J143">
        <v>0</v>
      </c>
      <c r="K143">
        <v>53.5</v>
      </c>
      <c r="L143">
        <v>10.1</v>
      </c>
      <c r="M143" t="s">
        <v>29</v>
      </c>
      <c r="N143" t="s">
        <v>40</v>
      </c>
    </row>
    <row r="144" spans="1:14" x14ac:dyDescent="0.2">
      <c r="A144" t="s">
        <v>183</v>
      </c>
      <c r="B144" t="s">
        <v>58</v>
      </c>
      <c r="C144">
        <v>239.27</v>
      </c>
      <c r="D144">
        <v>6</v>
      </c>
      <c r="E144">
        <v>42.15</v>
      </c>
      <c r="F144">
        <v>49</v>
      </c>
      <c r="G144">
        <v>40.299999999999997</v>
      </c>
      <c r="H144">
        <v>4</v>
      </c>
      <c r="I144" t="s">
        <v>24</v>
      </c>
      <c r="J144">
        <v>5</v>
      </c>
      <c r="K144">
        <v>51.9</v>
      </c>
      <c r="L144">
        <v>14.7</v>
      </c>
      <c r="M144" t="s">
        <v>47</v>
      </c>
      <c r="N144" t="s">
        <v>43</v>
      </c>
    </row>
    <row r="145" spans="1:14" x14ac:dyDescent="0.2">
      <c r="A145" t="s">
        <v>184</v>
      </c>
      <c r="B145" t="s">
        <v>23</v>
      </c>
      <c r="C145">
        <v>221.72</v>
      </c>
      <c r="D145">
        <v>4</v>
      </c>
      <c r="E145">
        <v>59.27</v>
      </c>
      <c r="F145">
        <v>139</v>
      </c>
      <c r="G145">
        <v>18.899999999999999</v>
      </c>
      <c r="H145">
        <v>1</v>
      </c>
      <c r="I145" t="s">
        <v>33</v>
      </c>
      <c r="J145">
        <v>0</v>
      </c>
      <c r="K145">
        <v>26.8</v>
      </c>
      <c r="L145">
        <v>6.4</v>
      </c>
      <c r="M145" t="s">
        <v>39</v>
      </c>
      <c r="N145" t="s">
        <v>43</v>
      </c>
    </row>
    <row r="146" spans="1:14" x14ac:dyDescent="0.2">
      <c r="A146" t="s">
        <v>185</v>
      </c>
      <c r="B146" t="s">
        <v>23</v>
      </c>
      <c r="C146">
        <v>337.62</v>
      </c>
      <c r="D146">
        <v>6</v>
      </c>
      <c r="E146">
        <v>54.07</v>
      </c>
      <c r="F146">
        <v>72</v>
      </c>
      <c r="G146">
        <v>25.3</v>
      </c>
      <c r="H146">
        <v>4</v>
      </c>
      <c r="I146" t="s">
        <v>24</v>
      </c>
      <c r="J146">
        <v>5</v>
      </c>
      <c r="K146">
        <v>32.299999999999997</v>
      </c>
      <c r="L146">
        <v>6.3</v>
      </c>
      <c r="M146" t="s">
        <v>29</v>
      </c>
      <c r="N146" t="s">
        <v>45</v>
      </c>
    </row>
    <row r="147" spans="1:14" x14ac:dyDescent="0.2">
      <c r="A147" t="s">
        <v>186</v>
      </c>
      <c r="B147" t="s">
        <v>37</v>
      </c>
      <c r="C147">
        <v>31.25</v>
      </c>
      <c r="D147">
        <v>1</v>
      </c>
      <c r="E147">
        <v>32.6</v>
      </c>
      <c r="F147">
        <v>109</v>
      </c>
      <c r="G147">
        <v>32.1</v>
      </c>
      <c r="H147">
        <v>2</v>
      </c>
      <c r="I147" t="s">
        <v>33</v>
      </c>
      <c r="J147">
        <v>0</v>
      </c>
      <c r="K147">
        <v>33</v>
      </c>
      <c r="L147">
        <v>1.3</v>
      </c>
      <c r="M147" t="s">
        <v>53</v>
      </c>
      <c r="N147" t="s">
        <v>40</v>
      </c>
    </row>
    <row r="148" spans="1:14" x14ac:dyDescent="0.2">
      <c r="A148" t="s">
        <v>187</v>
      </c>
      <c r="B148" t="s">
        <v>35</v>
      </c>
      <c r="C148">
        <v>520.37</v>
      </c>
      <c r="D148">
        <v>8</v>
      </c>
      <c r="E148">
        <v>62.46</v>
      </c>
      <c r="F148">
        <v>32</v>
      </c>
      <c r="G148">
        <v>9.6</v>
      </c>
      <c r="H148">
        <v>4</v>
      </c>
      <c r="I148" t="s">
        <v>24</v>
      </c>
      <c r="J148">
        <v>14</v>
      </c>
      <c r="K148">
        <v>62.6</v>
      </c>
      <c r="L148">
        <v>29.2</v>
      </c>
      <c r="M148" t="s">
        <v>29</v>
      </c>
      <c r="N148" t="s">
        <v>40</v>
      </c>
    </row>
    <row r="149" spans="1:14" x14ac:dyDescent="0.2">
      <c r="A149" t="s">
        <v>188</v>
      </c>
      <c r="B149" t="s">
        <v>58</v>
      </c>
      <c r="C149">
        <v>334.5</v>
      </c>
      <c r="D149">
        <v>6</v>
      </c>
      <c r="E149">
        <v>58.7</v>
      </c>
      <c r="F149">
        <v>35</v>
      </c>
      <c r="G149">
        <v>10.9</v>
      </c>
      <c r="H149">
        <v>3</v>
      </c>
      <c r="I149" t="s">
        <v>24</v>
      </c>
      <c r="J149">
        <v>18</v>
      </c>
      <c r="K149">
        <v>60.9</v>
      </c>
      <c r="L149">
        <v>9.4</v>
      </c>
      <c r="M149" t="s">
        <v>39</v>
      </c>
      <c r="N149" t="s">
        <v>45</v>
      </c>
    </row>
    <row r="150" spans="1:14" x14ac:dyDescent="0.2">
      <c r="A150" t="s">
        <v>189</v>
      </c>
      <c r="B150" t="s">
        <v>37</v>
      </c>
      <c r="C150">
        <v>333.33</v>
      </c>
      <c r="D150">
        <v>6</v>
      </c>
      <c r="E150">
        <v>54.21</v>
      </c>
      <c r="F150">
        <v>38</v>
      </c>
      <c r="G150">
        <v>0</v>
      </c>
      <c r="H150">
        <v>5</v>
      </c>
      <c r="I150" t="s">
        <v>24</v>
      </c>
      <c r="J150">
        <v>9</v>
      </c>
      <c r="K150">
        <v>58.4</v>
      </c>
      <c r="L150">
        <v>16.7</v>
      </c>
      <c r="M150" t="s">
        <v>53</v>
      </c>
      <c r="N150" t="s">
        <v>43</v>
      </c>
    </row>
    <row r="151" spans="1:14" x14ac:dyDescent="0.2">
      <c r="A151" t="s">
        <v>190</v>
      </c>
      <c r="B151" t="s">
        <v>23</v>
      </c>
      <c r="C151">
        <v>279.35000000000002</v>
      </c>
      <c r="D151">
        <v>4</v>
      </c>
      <c r="E151">
        <v>75.2</v>
      </c>
      <c r="F151">
        <v>23</v>
      </c>
      <c r="G151">
        <v>9</v>
      </c>
      <c r="H151">
        <v>4</v>
      </c>
      <c r="I151" t="s">
        <v>24</v>
      </c>
      <c r="J151">
        <v>10</v>
      </c>
      <c r="K151">
        <v>64.3</v>
      </c>
      <c r="L151">
        <v>3.2</v>
      </c>
      <c r="M151" t="s">
        <v>47</v>
      </c>
      <c r="N151" t="s">
        <v>26</v>
      </c>
    </row>
    <row r="152" spans="1:14" x14ac:dyDescent="0.2">
      <c r="A152" t="s">
        <v>191</v>
      </c>
      <c r="B152" t="s">
        <v>28</v>
      </c>
      <c r="C152">
        <v>99.74</v>
      </c>
      <c r="D152">
        <v>2</v>
      </c>
      <c r="E152">
        <v>48.23</v>
      </c>
      <c r="F152">
        <v>14</v>
      </c>
      <c r="G152">
        <v>32.799999999999997</v>
      </c>
      <c r="H152">
        <v>5</v>
      </c>
      <c r="I152" t="s">
        <v>33</v>
      </c>
      <c r="J152">
        <v>0</v>
      </c>
      <c r="K152">
        <v>52.6</v>
      </c>
      <c r="L152">
        <v>7.7</v>
      </c>
      <c r="M152" t="s">
        <v>25</v>
      </c>
      <c r="N152" t="s">
        <v>45</v>
      </c>
    </row>
    <row r="153" spans="1:14" x14ac:dyDescent="0.2">
      <c r="A153" t="s">
        <v>192</v>
      </c>
      <c r="B153" t="s">
        <v>37</v>
      </c>
      <c r="C153">
        <v>117.81</v>
      </c>
      <c r="D153">
        <v>3</v>
      </c>
      <c r="E153">
        <v>38.28</v>
      </c>
      <c r="F153">
        <v>55</v>
      </c>
      <c r="G153">
        <v>53.5</v>
      </c>
      <c r="H153">
        <v>2</v>
      </c>
      <c r="I153" t="s">
        <v>33</v>
      </c>
      <c r="J153">
        <v>0</v>
      </c>
      <c r="K153">
        <v>52.6</v>
      </c>
      <c r="L153">
        <v>3.1</v>
      </c>
      <c r="M153" t="s">
        <v>55</v>
      </c>
      <c r="N153" t="s">
        <v>30</v>
      </c>
    </row>
    <row r="154" spans="1:14" x14ac:dyDescent="0.2">
      <c r="A154" t="s">
        <v>193</v>
      </c>
      <c r="B154" t="s">
        <v>37</v>
      </c>
      <c r="C154">
        <v>262.33</v>
      </c>
      <c r="D154">
        <v>5</v>
      </c>
      <c r="E154">
        <v>50.73</v>
      </c>
      <c r="F154">
        <v>44</v>
      </c>
      <c r="G154">
        <v>17.7</v>
      </c>
      <c r="H154">
        <v>5</v>
      </c>
      <c r="I154" t="s">
        <v>33</v>
      </c>
      <c r="J154">
        <v>0</v>
      </c>
      <c r="K154">
        <v>62</v>
      </c>
      <c r="L154">
        <v>5.0999999999999996</v>
      </c>
      <c r="M154" t="s">
        <v>47</v>
      </c>
      <c r="N154" t="s">
        <v>43</v>
      </c>
    </row>
    <row r="155" spans="1:14" x14ac:dyDescent="0.2">
      <c r="A155" t="s">
        <v>194</v>
      </c>
      <c r="B155" t="s">
        <v>58</v>
      </c>
      <c r="C155">
        <v>337.46</v>
      </c>
      <c r="D155">
        <v>6</v>
      </c>
      <c r="E155">
        <v>54.54</v>
      </c>
      <c r="F155">
        <v>70</v>
      </c>
      <c r="G155">
        <v>28.5</v>
      </c>
      <c r="H155">
        <v>6</v>
      </c>
      <c r="I155" t="s">
        <v>24</v>
      </c>
      <c r="J155">
        <v>11</v>
      </c>
      <c r="K155">
        <v>58</v>
      </c>
      <c r="L155">
        <v>17.100000000000001</v>
      </c>
      <c r="M155" t="s">
        <v>29</v>
      </c>
      <c r="N155" t="s">
        <v>40</v>
      </c>
    </row>
    <row r="156" spans="1:14" x14ac:dyDescent="0.2">
      <c r="A156" t="s">
        <v>195</v>
      </c>
      <c r="B156" t="s">
        <v>28</v>
      </c>
      <c r="C156">
        <v>258.52</v>
      </c>
      <c r="D156">
        <v>4</v>
      </c>
      <c r="E156">
        <v>63.99</v>
      </c>
      <c r="F156">
        <v>50</v>
      </c>
      <c r="G156">
        <v>30.2</v>
      </c>
      <c r="H156">
        <v>4</v>
      </c>
      <c r="I156" t="s">
        <v>24</v>
      </c>
      <c r="J156">
        <v>4</v>
      </c>
      <c r="K156">
        <v>35.799999999999997</v>
      </c>
      <c r="L156">
        <v>18.3</v>
      </c>
      <c r="M156" t="s">
        <v>25</v>
      </c>
      <c r="N156" t="s">
        <v>26</v>
      </c>
    </row>
    <row r="157" spans="1:14" x14ac:dyDescent="0.2">
      <c r="A157" t="s">
        <v>196</v>
      </c>
      <c r="B157" t="s">
        <v>23</v>
      </c>
      <c r="C157">
        <v>271.38</v>
      </c>
      <c r="D157">
        <v>7</v>
      </c>
      <c r="E157">
        <v>41.96</v>
      </c>
      <c r="F157">
        <v>18</v>
      </c>
      <c r="G157">
        <v>56</v>
      </c>
      <c r="H157">
        <v>2</v>
      </c>
      <c r="I157" t="s">
        <v>33</v>
      </c>
      <c r="J157">
        <v>0</v>
      </c>
      <c r="K157">
        <v>30.9</v>
      </c>
      <c r="L157">
        <v>15.8</v>
      </c>
      <c r="M157" t="s">
        <v>47</v>
      </c>
      <c r="N157" t="s">
        <v>43</v>
      </c>
    </row>
    <row r="158" spans="1:14" x14ac:dyDescent="0.2">
      <c r="A158" t="s">
        <v>197</v>
      </c>
      <c r="B158" t="s">
        <v>35</v>
      </c>
      <c r="C158">
        <v>115.93</v>
      </c>
      <c r="D158">
        <v>2</v>
      </c>
      <c r="E158">
        <v>54.79</v>
      </c>
      <c r="F158">
        <v>45</v>
      </c>
      <c r="G158">
        <v>34.9</v>
      </c>
      <c r="H158">
        <v>5</v>
      </c>
      <c r="I158" t="s">
        <v>24</v>
      </c>
      <c r="J158">
        <v>8</v>
      </c>
      <c r="K158">
        <v>66.2</v>
      </c>
      <c r="L158">
        <v>13.2</v>
      </c>
      <c r="M158" t="s">
        <v>47</v>
      </c>
      <c r="N158" t="s">
        <v>26</v>
      </c>
    </row>
    <row r="159" spans="1:14" x14ac:dyDescent="0.2">
      <c r="A159" t="s">
        <v>198</v>
      </c>
      <c r="B159" t="s">
        <v>32</v>
      </c>
      <c r="C159">
        <v>237.51</v>
      </c>
      <c r="D159">
        <v>6</v>
      </c>
      <c r="E159">
        <v>37.79</v>
      </c>
      <c r="F159">
        <v>61</v>
      </c>
      <c r="G159">
        <v>22.2</v>
      </c>
      <c r="H159">
        <v>2</v>
      </c>
      <c r="I159" t="s">
        <v>33</v>
      </c>
      <c r="J159">
        <v>0</v>
      </c>
      <c r="K159">
        <v>29.4</v>
      </c>
      <c r="L159">
        <v>11.5</v>
      </c>
      <c r="M159" t="s">
        <v>39</v>
      </c>
      <c r="N159" t="s">
        <v>43</v>
      </c>
    </row>
    <row r="160" spans="1:14" x14ac:dyDescent="0.2">
      <c r="A160" t="s">
        <v>199</v>
      </c>
      <c r="B160" t="s">
        <v>37</v>
      </c>
      <c r="C160">
        <v>320.99</v>
      </c>
      <c r="D160">
        <v>7</v>
      </c>
      <c r="E160">
        <v>47.47</v>
      </c>
      <c r="F160">
        <v>64</v>
      </c>
      <c r="G160">
        <v>31.6</v>
      </c>
      <c r="H160">
        <v>3</v>
      </c>
      <c r="I160" t="s">
        <v>33</v>
      </c>
      <c r="J160">
        <v>0</v>
      </c>
      <c r="K160">
        <v>38.700000000000003</v>
      </c>
      <c r="L160">
        <v>7.4</v>
      </c>
      <c r="M160" t="s">
        <v>53</v>
      </c>
      <c r="N160" t="s">
        <v>26</v>
      </c>
    </row>
    <row r="161" spans="1:14" x14ac:dyDescent="0.2">
      <c r="A161" t="s">
        <v>200</v>
      </c>
      <c r="B161" t="s">
        <v>32</v>
      </c>
      <c r="C161">
        <v>38.35</v>
      </c>
      <c r="D161">
        <v>1</v>
      </c>
      <c r="E161">
        <v>38.770000000000003</v>
      </c>
      <c r="F161">
        <v>190</v>
      </c>
      <c r="G161">
        <v>6.8</v>
      </c>
      <c r="H161">
        <v>1</v>
      </c>
      <c r="I161" t="s">
        <v>24</v>
      </c>
      <c r="J161">
        <v>6</v>
      </c>
      <c r="K161">
        <v>16.399999999999999</v>
      </c>
      <c r="L161">
        <v>7.8</v>
      </c>
      <c r="M161" t="s">
        <v>47</v>
      </c>
      <c r="N161" t="s">
        <v>26</v>
      </c>
    </row>
    <row r="162" spans="1:14" x14ac:dyDescent="0.2">
      <c r="A162" t="s">
        <v>201</v>
      </c>
      <c r="B162" t="s">
        <v>23</v>
      </c>
      <c r="C162">
        <v>136.44</v>
      </c>
      <c r="D162">
        <v>2</v>
      </c>
      <c r="E162">
        <v>69.12</v>
      </c>
      <c r="F162">
        <v>25</v>
      </c>
      <c r="G162">
        <v>24.4</v>
      </c>
      <c r="H162">
        <v>5</v>
      </c>
      <c r="I162" t="s">
        <v>33</v>
      </c>
      <c r="J162">
        <v>0</v>
      </c>
      <c r="K162">
        <v>53</v>
      </c>
      <c r="L162">
        <v>7.1</v>
      </c>
      <c r="M162" t="s">
        <v>25</v>
      </c>
      <c r="N162" t="s">
        <v>26</v>
      </c>
    </row>
    <row r="163" spans="1:14" x14ac:dyDescent="0.2">
      <c r="A163" t="s">
        <v>202</v>
      </c>
      <c r="B163" t="s">
        <v>35</v>
      </c>
      <c r="C163">
        <v>350.2</v>
      </c>
      <c r="D163">
        <v>6</v>
      </c>
      <c r="E163">
        <v>54.28</v>
      </c>
      <c r="F163">
        <v>17</v>
      </c>
      <c r="G163">
        <v>28.6</v>
      </c>
      <c r="H163">
        <v>4</v>
      </c>
      <c r="I163" t="s">
        <v>33</v>
      </c>
      <c r="J163">
        <v>0</v>
      </c>
      <c r="K163">
        <v>34.700000000000003</v>
      </c>
      <c r="L163">
        <v>13.4</v>
      </c>
      <c r="M163" t="s">
        <v>29</v>
      </c>
      <c r="N163" t="s">
        <v>30</v>
      </c>
    </row>
    <row r="164" spans="1:14" x14ac:dyDescent="0.2">
      <c r="A164" t="s">
        <v>203</v>
      </c>
      <c r="B164" t="s">
        <v>35</v>
      </c>
      <c r="C164">
        <v>198.19</v>
      </c>
      <c r="D164">
        <v>4</v>
      </c>
      <c r="E164">
        <v>49.68</v>
      </c>
      <c r="F164">
        <v>53</v>
      </c>
      <c r="G164">
        <v>34.9</v>
      </c>
      <c r="H164">
        <v>3</v>
      </c>
      <c r="I164" t="s">
        <v>24</v>
      </c>
      <c r="J164">
        <v>5</v>
      </c>
      <c r="K164">
        <v>39.700000000000003</v>
      </c>
      <c r="L164">
        <v>9.6999999999999993</v>
      </c>
      <c r="M164" t="s">
        <v>29</v>
      </c>
      <c r="N164" t="s">
        <v>45</v>
      </c>
    </row>
    <row r="165" spans="1:14" x14ac:dyDescent="0.2">
      <c r="A165" t="s">
        <v>204</v>
      </c>
      <c r="B165" t="s">
        <v>58</v>
      </c>
      <c r="C165">
        <v>127.01</v>
      </c>
      <c r="D165">
        <v>4</v>
      </c>
      <c r="E165">
        <v>33.97</v>
      </c>
      <c r="F165">
        <v>41</v>
      </c>
      <c r="G165">
        <v>50.5</v>
      </c>
      <c r="H165">
        <v>2</v>
      </c>
      <c r="I165" t="s">
        <v>24</v>
      </c>
      <c r="J165">
        <v>6</v>
      </c>
      <c r="K165">
        <v>37.200000000000003</v>
      </c>
      <c r="L165">
        <v>10.7</v>
      </c>
      <c r="M165" t="s">
        <v>47</v>
      </c>
      <c r="N165" t="s">
        <v>30</v>
      </c>
    </row>
    <row r="166" spans="1:14" x14ac:dyDescent="0.2">
      <c r="A166" t="s">
        <v>205</v>
      </c>
      <c r="B166" t="s">
        <v>37</v>
      </c>
      <c r="C166">
        <v>457.13</v>
      </c>
      <c r="D166">
        <v>9</v>
      </c>
      <c r="E166">
        <v>52.72</v>
      </c>
      <c r="F166">
        <v>56</v>
      </c>
      <c r="G166">
        <v>32.4</v>
      </c>
      <c r="H166">
        <v>3</v>
      </c>
      <c r="I166" t="s">
        <v>33</v>
      </c>
      <c r="J166">
        <v>0</v>
      </c>
      <c r="K166">
        <v>26.5</v>
      </c>
      <c r="L166">
        <v>3.7</v>
      </c>
      <c r="M166" t="s">
        <v>25</v>
      </c>
      <c r="N166" t="s">
        <v>40</v>
      </c>
    </row>
    <row r="167" spans="1:14" x14ac:dyDescent="0.2">
      <c r="A167" t="s">
        <v>206</v>
      </c>
      <c r="B167" t="s">
        <v>32</v>
      </c>
      <c r="C167">
        <v>207.45</v>
      </c>
      <c r="D167">
        <v>3</v>
      </c>
      <c r="E167">
        <v>67.209999999999994</v>
      </c>
      <c r="F167">
        <v>164</v>
      </c>
      <c r="G167">
        <v>24.7</v>
      </c>
      <c r="H167">
        <v>2</v>
      </c>
      <c r="I167" t="s">
        <v>33</v>
      </c>
      <c r="J167">
        <v>0</v>
      </c>
      <c r="K167">
        <v>35.299999999999997</v>
      </c>
      <c r="L167">
        <v>7.2</v>
      </c>
      <c r="M167" t="s">
        <v>39</v>
      </c>
      <c r="N167" t="s">
        <v>43</v>
      </c>
    </row>
    <row r="168" spans="1:14" x14ac:dyDescent="0.2">
      <c r="A168" t="s">
        <v>207</v>
      </c>
      <c r="B168" t="s">
        <v>23</v>
      </c>
      <c r="C168">
        <v>514.78</v>
      </c>
      <c r="D168">
        <v>7</v>
      </c>
      <c r="E168">
        <v>71.569999999999993</v>
      </c>
      <c r="F168">
        <v>30</v>
      </c>
      <c r="G168">
        <v>2.8</v>
      </c>
      <c r="H168">
        <v>4</v>
      </c>
      <c r="I168" t="s">
        <v>24</v>
      </c>
      <c r="J168">
        <v>11</v>
      </c>
      <c r="K168">
        <v>51.4</v>
      </c>
      <c r="L168">
        <v>18.100000000000001</v>
      </c>
      <c r="M168" t="s">
        <v>47</v>
      </c>
      <c r="N168" t="s">
        <v>43</v>
      </c>
    </row>
    <row r="169" spans="1:14" x14ac:dyDescent="0.2">
      <c r="A169" t="s">
        <v>208</v>
      </c>
      <c r="B169" t="s">
        <v>37</v>
      </c>
      <c r="C169">
        <v>453.16</v>
      </c>
      <c r="D169">
        <v>7</v>
      </c>
      <c r="E169">
        <v>70.260000000000005</v>
      </c>
      <c r="F169">
        <v>19</v>
      </c>
      <c r="G169">
        <v>13.4</v>
      </c>
      <c r="H169">
        <v>3</v>
      </c>
      <c r="I169" t="s">
        <v>24</v>
      </c>
      <c r="J169">
        <v>15</v>
      </c>
      <c r="K169">
        <v>76.099999999999994</v>
      </c>
      <c r="L169">
        <v>13.5</v>
      </c>
      <c r="M169" t="s">
        <v>53</v>
      </c>
      <c r="N169" t="s">
        <v>45</v>
      </c>
    </row>
    <row r="170" spans="1:14" x14ac:dyDescent="0.2">
      <c r="A170" t="s">
        <v>209</v>
      </c>
      <c r="B170" t="s">
        <v>37</v>
      </c>
      <c r="C170">
        <v>440.32</v>
      </c>
      <c r="D170">
        <v>9</v>
      </c>
      <c r="E170">
        <v>53.05</v>
      </c>
      <c r="F170">
        <v>53</v>
      </c>
      <c r="G170">
        <v>32.5</v>
      </c>
      <c r="H170">
        <v>2</v>
      </c>
      <c r="I170" t="s">
        <v>24</v>
      </c>
      <c r="J170">
        <v>6</v>
      </c>
      <c r="K170">
        <v>41.6</v>
      </c>
      <c r="L170">
        <v>12.3</v>
      </c>
      <c r="M170" t="s">
        <v>29</v>
      </c>
      <c r="N170" t="s">
        <v>43</v>
      </c>
    </row>
    <row r="171" spans="1:14" x14ac:dyDescent="0.2">
      <c r="A171" t="s">
        <v>210</v>
      </c>
      <c r="B171" t="s">
        <v>35</v>
      </c>
      <c r="C171">
        <v>136.12</v>
      </c>
      <c r="D171">
        <v>4</v>
      </c>
      <c r="E171">
        <v>36.479999999999997</v>
      </c>
      <c r="F171">
        <v>23</v>
      </c>
      <c r="G171">
        <v>37</v>
      </c>
      <c r="H171">
        <v>2</v>
      </c>
      <c r="I171" t="s">
        <v>33</v>
      </c>
      <c r="J171">
        <v>0</v>
      </c>
      <c r="K171">
        <v>30.8</v>
      </c>
      <c r="L171">
        <v>16.5</v>
      </c>
      <c r="M171" t="s">
        <v>53</v>
      </c>
      <c r="N171" t="s">
        <v>40</v>
      </c>
    </row>
    <row r="172" spans="1:14" x14ac:dyDescent="0.2">
      <c r="A172" t="s">
        <v>211</v>
      </c>
      <c r="B172" t="s">
        <v>35</v>
      </c>
      <c r="C172">
        <v>299.75</v>
      </c>
      <c r="D172">
        <v>7</v>
      </c>
      <c r="E172">
        <v>46</v>
      </c>
      <c r="F172">
        <v>41</v>
      </c>
      <c r="G172">
        <v>53.7</v>
      </c>
      <c r="H172">
        <v>3</v>
      </c>
      <c r="I172" t="s">
        <v>24</v>
      </c>
      <c r="J172">
        <v>10</v>
      </c>
      <c r="K172">
        <v>44.8</v>
      </c>
      <c r="L172">
        <v>10.6</v>
      </c>
      <c r="M172" t="s">
        <v>25</v>
      </c>
      <c r="N172" t="s">
        <v>26</v>
      </c>
    </row>
    <row r="173" spans="1:14" x14ac:dyDescent="0.2">
      <c r="A173" t="s">
        <v>212</v>
      </c>
      <c r="B173" t="s">
        <v>37</v>
      </c>
      <c r="C173">
        <v>860.83</v>
      </c>
      <c r="D173">
        <v>11</v>
      </c>
      <c r="E173">
        <v>78.83</v>
      </c>
      <c r="F173">
        <v>36</v>
      </c>
      <c r="G173">
        <v>10.7</v>
      </c>
      <c r="H173">
        <v>6</v>
      </c>
      <c r="I173" t="s">
        <v>24</v>
      </c>
      <c r="J173">
        <v>15</v>
      </c>
      <c r="K173">
        <v>52.8</v>
      </c>
      <c r="L173">
        <v>21.5</v>
      </c>
      <c r="M173" t="s">
        <v>53</v>
      </c>
      <c r="N173" t="s">
        <v>40</v>
      </c>
    </row>
    <row r="174" spans="1:14" x14ac:dyDescent="0.2">
      <c r="A174" t="s">
        <v>213</v>
      </c>
      <c r="B174" t="s">
        <v>58</v>
      </c>
      <c r="C174">
        <v>487.17</v>
      </c>
      <c r="D174">
        <v>9</v>
      </c>
      <c r="E174">
        <v>58.61</v>
      </c>
      <c r="F174">
        <v>16</v>
      </c>
      <c r="G174">
        <v>16.2</v>
      </c>
      <c r="H174">
        <v>5</v>
      </c>
      <c r="I174" t="s">
        <v>24</v>
      </c>
      <c r="J174">
        <v>14</v>
      </c>
      <c r="K174">
        <v>58.2</v>
      </c>
      <c r="L174">
        <v>13.6</v>
      </c>
      <c r="M174" t="s">
        <v>25</v>
      </c>
      <c r="N174" t="s">
        <v>26</v>
      </c>
    </row>
    <row r="175" spans="1:14" x14ac:dyDescent="0.2">
      <c r="A175" t="s">
        <v>214</v>
      </c>
      <c r="B175" t="s">
        <v>37</v>
      </c>
      <c r="C175">
        <v>284.83999999999997</v>
      </c>
      <c r="D175">
        <v>4</v>
      </c>
      <c r="E175">
        <v>72.25</v>
      </c>
      <c r="F175">
        <v>23</v>
      </c>
      <c r="G175">
        <v>0.5</v>
      </c>
      <c r="H175">
        <v>3</v>
      </c>
      <c r="I175" t="s">
        <v>33</v>
      </c>
      <c r="J175">
        <v>0</v>
      </c>
      <c r="K175">
        <v>59</v>
      </c>
      <c r="L175">
        <v>14.1</v>
      </c>
      <c r="M175" t="s">
        <v>29</v>
      </c>
      <c r="N175" t="s">
        <v>45</v>
      </c>
    </row>
    <row r="176" spans="1:14" x14ac:dyDescent="0.2">
      <c r="A176" t="s">
        <v>215</v>
      </c>
      <c r="B176" t="s">
        <v>35</v>
      </c>
      <c r="C176">
        <v>126.23</v>
      </c>
      <c r="D176">
        <v>2</v>
      </c>
      <c r="E176">
        <v>65.319999999999993</v>
      </c>
      <c r="F176">
        <v>29</v>
      </c>
      <c r="G176">
        <v>23.2</v>
      </c>
      <c r="H176">
        <v>5</v>
      </c>
      <c r="I176" t="s">
        <v>33</v>
      </c>
      <c r="J176">
        <v>0</v>
      </c>
      <c r="K176">
        <v>51.4</v>
      </c>
      <c r="L176">
        <v>9.5</v>
      </c>
      <c r="M176" t="s">
        <v>47</v>
      </c>
      <c r="N176" t="s">
        <v>30</v>
      </c>
    </row>
    <row r="177" spans="1:14" x14ac:dyDescent="0.2">
      <c r="A177" t="s">
        <v>216</v>
      </c>
      <c r="B177" t="s">
        <v>37</v>
      </c>
      <c r="C177">
        <v>209.17</v>
      </c>
      <c r="D177">
        <v>6</v>
      </c>
      <c r="E177">
        <v>33.32</v>
      </c>
      <c r="F177">
        <v>98</v>
      </c>
      <c r="G177">
        <v>38.1</v>
      </c>
      <c r="H177">
        <v>4</v>
      </c>
      <c r="I177" t="s">
        <v>33</v>
      </c>
      <c r="J177">
        <v>0</v>
      </c>
      <c r="K177">
        <v>48.5</v>
      </c>
      <c r="L177">
        <v>8.1</v>
      </c>
      <c r="M177" t="s">
        <v>25</v>
      </c>
      <c r="N177" t="s">
        <v>40</v>
      </c>
    </row>
    <row r="178" spans="1:14" x14ac:dyDescent="0.2">
      <c r="A178" t="s">
        <v>217</v>
      </c>
      <c r="B178" t="s">
        <v>35</v>
      </c>
      <c r="C178">
        <v>279.86</v>
      </c>
      <c r="D178">
        <v>7</v>
      </c>
      <c r="E178">
        <v>39.96</v>
      </c>
      <c r="F178">
        <v>46</v>
      </c>
      <c r="G178">
        <v>46.5</v>
      </c>
      <c r="H178">
        <v>3</v>
      </c>
      <c r="I178" t="s">
        <v>33</v>
      </c>
      <c r="J178">
        <v>0</v>
      </c>
      <c r="K178">
        <v>15.8</v>
      </c>
      <c r="L178">
        <v>14.3</v>
      </c>
      <c r="M178" t="s">
        <v>29</v>
      </c>
      <c r="N178" t="s">
        <v>26</v>
      </c>
    </row>
    <row r="179" spans="1:14" x14ac:dyDescent="0.2">
      <c r="A179" t="s">
        <v>218</v>
      </c>
      <c r="B179" t="s">
        <v>23</v>
      </c>
      <c r="C179">
        <v>60.46</v>
      </c>
      <c r="D179">
        <v>1</v>
      </c>
      <c r="E179">
        <v>59.41</v>
      </c>
      <c r="F179">
        <v>181</v>
      </c>
      <c r="G179">
        <v>18.899999999999999</v>
      </c>
      <c r="H179">
        <v>2</v>
      </c>
      <c r="I179" t="s">
        <v>33</v>
      </c>
      <c r="J179">
        <v>0</v>
      </c>
      <c r="K179">
        <v>18.899999999999999</v>
      </c>
      <c r="L179">
        <v>9.8000000000000007</v>
      </c>
      <c r="M179" t="s">
        <v>47</v>
      </c>
      <c r="N179" t="s">
        <v>30</v>
      </c>
    </row>
    <row r="180" spans="1:14" x14ac:dyDescent="0.2">
      <c r="A180" t="s">
        <v>219</v>
      </c>
      <c r="B180" t="s">
        <v>28</v>
      </c>
      <c r="C180">
        <v>474.7</v>
      </c>
      <c r="D180">
        <v>8</v>
      </c>
      <c r="E180">
        <v>62.74</v>
      </c>
      <c r="F180">
        <v>12</v>
      </c>
      <c r="G180">
        <v>15.3</v>
      </c>
      <c r="H180">
        <v>3</v>
      </c>
      <c r="I180" t="s">
        <v>24</v>
      </c>
      <c r="J180">
        <v>10</v>
      </c>
      <c r="K180">
        <v>57.3</v>
      </c>
      <c r="L180">
        <v>24.7</v>
      </c>
      <c r="M180" t="s">
        <v>47</v>
      </c>
      <c r="N180" t="s">
        <v>40</v>
      </c>
    </row>
    <row r="181" spans="1:14" x14ac:dyDescent="0.2">
      <c r="A181" t="s">
        <v>220</v>
      </c>
      <c r="B181" t="s">
        <v>37</v>
      </c>
      <c r="C181">
        <v>134.07</v>
      </c>
      <c r="D181">
        <v>3</v>
      </c>
      <c r="E181">
        <v>46.67</v>
      </c>
      <c r="F181">
        <v>29</v>
      </c>
      <c r="G181">
        <v>23.8</v>
      </c>
      <c r="H181">
        <v>6</v>
      </c>
      <c r="I181" t="s">
        <v>24</v>
      </c>
      <c r="J181">
        <v>9</v>
      </c>
      <c r="K181">
        <v>46.5</v>
      </c>
      <c r="L181">
        <v>10</v>
      </c>
      <c r="M181" t="s">
        <v>47</v>
      </c>
      <c r="N181" t="s">
        <v>30</v>
      </c>
    </row>
    <row r="182" spans="1:14" x14ac:dyDescent="0.2">
      <c r="A182" t="s">
        <v>221</v>
      </c>
      <c r="B182" t="s">
        <v>23</v>
      </c>
      <c r="C182">
        <v>530</v>
      </c>
      <c r="D182">
        <v>7</v>
      </c>
      <c r="E182">
        <v>76.8</v>
      </c>
      <c r="F182">
        <v>2</v>
      </c>
      <c r="G182">
        <v>10.1</v>
      </c>
      <c r="H182">
        <v>6</v>
      </c>
      <c r="I182" t="s">
        <v>33</v>
      </c>
      <c r="J182">
        <v>0</v>
      </c>
      <c r="K182">
        <v>51.9</v>
      </c>
      <c r="L182">
        <v>13</v>
      </c>
      <c r="M182" t="s">
        <v>47</v>
      </c>
      <c r="N182" t="s">
        <v>30</v>
      </c>
    </row>
    <row r="183" spans="1:14" x14ac:dyDescent="0.2">
      <c r="A183" t="s">
        <v>222</v>
      </c>
      <c r="B183" t="s">
        <v>37</v>
      </c>
      <c r="C183">
        <v>358.7</v>
      </c>
      <c r="D183">
        <v>5</v>
      </c>
      <c r="E183">
        <v>75.28</v>
      </c>
      <c r="F183">
        <v>11</v>
      </c>
      <c r="G183">
        <v>17.5</v>
      </c>
      <c r="H183">
        <v>4</v>
      </c>
      <c r="I183" t="s">
        <v>24</v>
      </c>
      <c r="J183">
        <v>10</v>
      </c>
      <c r="K183">
        <v>46.5</v>
      </c>
      <c r="L183">
        <v>18.2</v>
      </c>
      <c r="M183" t="s">
        <v>39</v>
      </c>
      <c r="N183" t="s">
        <v>30</v>
      </c>
    </row>
    <row r="184" spans="1:14" x14ac:dyDescent="0.2">
      <c r="A184" t="s">
        <v>223</v>
      </c>
      <c r="B184" t="s">
        <v>28</v>
      </c>
      <c r="C184">
        <v>197.37</v>
      </c>
      <c r="D184">
        <v>4</v>
      </c>
      <c r="E184">
        <v>48.87</v>
      </c>
      <c r="F184">
        <v>40</v>
      </c>
      <c r="G184">
        <v>45.2</v>
      </c>
      <c r="H184">
        <v>1</v>
      </c>
      <c r="I184" t="s">
        <v>33</v>
      </c>
      <c r="J184">
        <v>0</v>
      </c>
      <c r="K184">
        <v>37.5</v>
      </c>
      <c r="L184">
        <v>6.9</v>
      </c>
      <c r="M184" t="s">
        <v>29</v>
      </c>
      <c r="N184" t="s">
        <v>43</v>
      </c>
    </row>
    <row r="185" spans="1:14" x14ac:dyDescent="0.2">
      <c r="A185" t="s">
        <v>224</v>
      </c>
      <c r="B185" t="s">
        <v>32</v>
      </c>
      <c r="C185">
        <v>490.67</v>
      </c>
      <c r="D185">
        <v>7</v>
      </c>
      <c r="E185">
        <v>66.97</v>
      </c>
      <c r="F185">
        <v>66</v>
      </c>
      <c r="G185">
        <v>28.8</v>
      </c>
      <c r="H185">
        <v>5</v>
      </c>
      <c r="I185" t="s">
        <v>33</v>
      </c>
      <c r="J185">
        <v>0</v>
      </c>
      <c r="K185">
        <v>51.9</v>
      </c>
      <c r="L185">
        <v>2.6</v>
      </c>
      <c r="M185" t="s">
        <v>29</v>
      </c>
      <c r="N185" t="s">
        <v>30</v>
      </c>
    </row>
    <row r="186" spans="1:14" x14ac:dyDescent="0.2">
      <c r="A186" t="s">
        <v>225</v>
      </c>
      <c r="B186" t="s">
        <v>23</v>
      </c>
      <c r="C186">
        <v>171.71</v>
      </c>
      <c r="D186">
        <v>4</v>
      </c>
      <c r="E186">
        <v>46.13</v>
      </c>
      <c r="F186">
        <v>20</v>
      </c>
      <c r="G186">
        <v>24</v>
      </c>
      <c r="H186">
        <v>4</v>
      </c>
      <c r="I186" t="s">
        <v>24</v>
      </c>
      <c r="J186">
        <v>7</v>
      </c>
      <c r="K186">
        <v>57.4</v>
      </c>
      <c r="L186">
        <v>15.5</v>
      </c>
      <c r="M186" t="s">
        <v>25</v>
      </c>
      <c r="N186" t="s">
        <v>30</v>
      </c>
    </row>
    <row r="187" spans="1:14" x14ac:dyDescent="0.2">
      <c r="A187" t="s">
        <v>226</v>
      </c>
      <c r="B187" t="s">
        <v>35</v>
      </c>
      <c r="C187">
        <v>217.55</v>
      </c>
      <c r="D187">
        <v>6</v>
      </c>
      <c r="E187">
        <v>37.15</v>
      </c>
      <c r="F187">
        <v>64</v>
      </c>
      <c r="G187">
        <v>50.5</v>
      </c>
      <c r="H187">
        <v>2</v>
      </c>
      <c r="I187" t="s">
        <v>33</v>
      </c>
      <c r="J187">
        <v>0</v>
      </c>
      <c r="K187">
        <v>27.2</v>
      </c>
      <c r="L187">
        <v>7.2</v>
      </c>
      <c r="M187" t="s">
        <v>53</v>
      </c>
      <c r="N187" t="s">
        <v>40</v>
      </c>
    </row>
    <row r="188" spans="1:14" x14ac:dyDescent="0.2">
      <c r="A188" t="s">
        <v>227</v>
      </c>
      <c r="B188" t="s">
        <v>32</v>
      </c>
      <c r="C188">
        <v>97.22</v>
      </c>
      <c r="D188">
        <v>2</v>
      </c>
      <c r="E188">
        <v>52.79</v>
      </c>
      <c r="F188">
        <v>40</v>
      </c>
      <c r="G188">
        <v>16</v>
      </c>
      <c r="H188">
        <v>2</v>
      </c>
      <c r="I188" t="s">
        <v>33</v>
      </c>
      <c r="J188">
        <v>0</v>
      </c>
      <c r="K188">
        <v>32.200000000000003</v>
      </c>
      <c r="L188">
        <v>4.4000000000000004</v>
      </c>
      <c r="M188" t="s">
        <v>47</v>
      </c>
      <c r="N188" t="s">
        <v>26</v>
      </c>
    </row>
    <row r="189" spans="1:14" x14ac:dyDescent="0.2">
      <c r="A189" t="s">
        <v>228</v>
      </c>
      <c r="B189" t="s">
        <v>58</v>
      </c>
      <c r="C189">
        <v>973.55</v>
      </c>
      <c r="D189">
        <v>12</v>
      </c>
      <c r="E189">
        <v>77.989999999999995</v>
      </c>
      <c r="F189">
        <v>15</v>
      </c>
      <c r="G189">
        <v>16</v>
      </c>
      <c r="H189">
        <v>4</v>
      </c>
      <c r="I189" t="s">
        <v>33</v>
      </c>
      <c r="J189">
        <v>0</v>
      </c>
      <c r="K189">
        <v>72.8</v>
      </c>
      <c r="L189">
        <v>18.100000000000001</v>
      </c>
      <c r="M189" t="s">
        <v>39</v>
      </c>
      <c r="N189" t="s">
        <v>43</v>
      </c>
    </row>
    <row r="190" spans="1:14" x14ac:dyDescent="0.2">
      <c r="A190" t="s">
        <v>229</v>
      </c>
      <c r="B190" t="s">
        <v>58</v>
      </c>
      <c r="C190">
        <v>367.61</v>
      </c>
      <c r="D190">
        <v>5</v>
      </c>
      <c r="E190">
        <v>70.69</v>
      </c>
      <c r="F190">
        <v>19</v>
      </c>
      <c r="G190">
        <v>30.1</v>
      </c>
      <c r="H190">
        <v>6</v>
      </c>
      <c r="I190" t="s">
        <v>24</v>
      </c>
      <c r="J190">
        <v>10</v>
      </c>
      <c r="K190">
        <v>49.5</v>
      </c>
      <c r="L190">
        <v>12.4</v>
      </c>
      <c r="M190" t="s">
        <v>39</v>
      </c>
      <c r="N190" t="s">
        <v>40</v>
      </c>
    </row>
    <row r="191" spans="1:14" x14ac:dyDescent="0.2">
      <c r="A191" t="s">
        <v>230</v>
      </c>
      <c r="B191" t="s">
        <v>23</v>
      </c>
      <c r="C191">
        <v>621.71</v>
      </c>
      <c r="D191">
        <v>8</v>
      </c>
      <c r="E191">
        <v>75.11</v>
      </c>
      <c r="F191">
        <v>36</v>
      </c>
      <c r="G191">
        <v>22.2</v>
      </c>
      <c r="H191">
        <v>4</v>
      </c>
      <c r="I191" t="s">
        <v>24</v>
      </c>
      <c r="J191">
        <v>15</v>
      </c>
      <c r="K191">
        <v>54.9</v>
      </c>
      <c r="L191">
        <v>9.9</v>
      </c>
      <c r="M191" t="s">
        <v>55</v>
      </c>
      <c r="N191" t="s">
        <v>45</v>
      </c>
    </row>
    <row r="192" spans="1:14" x14ac:dyDescent="0.2">
      <c r="A192" t="s">
        <v>231</v>
      </c>
      <c r="B192" t="s">
        <v>37</v>
      </c>
      <c r="C192">
        <v>145.81</v>
      </c>
      <c r="D192">
        <v>3</v>
      </c>
      <c r="E192">
        <v>52.13</v>
      </c>
      <c r="F192">
        <v>20</v>
      </c>
      <c r="G192">
        <v>15.1</v>
      </c>
      <c r="H192">
        <v>4</v>
      </c>
      <c r="I192" t="s">
        <v>33</v>
      </c>
      <c r="J192">
        <v>0</v>
      </c>
      <c r="K192">
        <v>33.9</v>
      </c>
      <c r="L192">
        <v>6.1</v>
      </c>
      <c r="M192" t="s">
        <v>25</v>
      </c>
      <c r="N192" t="s">
        <v>43</v>
      </c>
    </row>
    <row r="193" spans="1:14" x14ac:dyDescent="0.2">
      <c r="A193" t="s">
        <v>232</v>
      </c>
      <c r="B193" t="s">
        <v>32</v>
      </c>
      <c r="C193">
        <v>127.33</v>
      </c>
      <c r="D193">
        <v>3</v>
      </c>
      <c r="E193">
        <v>44.11</v>
      </c>
      <c r="F193">
        <v>162</v>
      </c>
      <c r="G193">
        <v>37.200000000000003</v>
      </c>
      <c r="H193">
        <v>3</v>
      </c>
      <c r="I193" t="s">
        <v>33</v>
      </c>
      <c r="J193">
        <v>0</v>
      </c>
      <c r="K193">
        <v>29.4</v>
      </c>
      <c r="L193">
        <v>1.7</v>
      </c>
      <c r="M193" t="s">
        <v>47</v>
      </c>
      <c r="N193" t="s">
        <v>30</v>
      </c>
    </row>
    <row r="194" spans="1:14" x14ac:dyDescent="0.2">
      <c r="A194" t="s">
        <v>233</v>
      </c>
      <c r="B194" t="s">
        <v>28</v>
      </c>
      <c r="C194">
        <v>189.71</v>
      </c>
      <c r="D194">
        <v>3</v>
      </c>
      <c r="E194">
        <v>61.64</v>
      </c>
      <c r="F194">
        <v>99</v>
      </c>
      <c r="G194">
        <v>10.199999999999999</v>
      </c>
      <c r="H194">
        <v>2</v>
      </c>
      <c r="I194" t="s">
        <v>33</v>
      </c>
      <c r="J194">
        <v>0</v>
      </c>
      <c r="K194">
        <v>14.4</v>
      </c>
      <c r="L194">
        <v>0.4</v>
      </c>
      <c r="M194" t="s">
        <v>39</v>
      </c>
      <c r="N194" t="s">
        <v>43</v>
      </c>
    </row>
    <row r="195" spans="1:14" x14ac:dyDescent="0.2">
      <c r="A195" t="s">
        <v>234</v>
      </c>
      <c r="B195" t="s">
        <v>35</v>
      </c>
      <c r="C195">
        <v>312.43</v>
      </c>
      <c r="D195">
        <v>7</v>
      </c>
      <c r="E195">
        <v>46.42</v>
      </c>
      <c r="F195">
        <v>26</v>
      </c>
      <c r="G195">
        <v>55.5</v>
      </c>
      <c r="H195">
        <v>3</v>
      </c>
      <c r="I195" t="s">
        <v>24</v>
      </c>
      <c r="J195">
        <v>3</v>
      </c>
      <c r="K195">
        <v>52.3</v>
      </c>
      <c r="L195">
        <v>8.1999999999999993</v>
      </c>
      <c r="M195" t="s">
        <v>47</v>
      </c>
      <c r="N195" t="s">
        <v>43</v>
      </c>
    </row>
    <row r="196" spans="1:14" x14ac:dyDescent="0.2">
      <c r="A196" t="s">
        <v>235</v>
      </c>
      <c r="B196" t="s">
        <v>23</v>
      </c>
      <c r="C196">
        <v>534.96</v>
      </c>
      <c r="D196">
        <v>7</v>
      </c>
      <c r="E196">
        <v>75.5</v>
      </c>
      <c r="F196">
        <v>25</v>
      </c>
      <c r="G196">
        <v>2.6</v>
      </c>
      <c r="H196">
        <v>3</v>
      </c>
      <c r="I196" t="s">
        <v>24</v>
      </c>
      <c r="J196">
        <v>14</v>
      </c>
      <c r="K196">
        <v>52.5</v>
      </c>
      <c r="L196">
        <v>13.7</v>
      </c>
      <c r="M196" t="s">
        <v>25</v>
      </c>
      <c r="N196" t="s">
        <v>43</v>
      </c>
    </row>
    <row r="197" spans="1:14" x14ac:dyDescent="0.2">
      <c r="A197" t="s">
        <v>236</v>
      </c>
      <c r="B197" t="s">
        <v>23</v>
      </c>
      <c r="C197">
        <v>733.8</v>
      </c>
      <c r="D197">
        <v>9</v>
      </c>
      <c r="E197">
        <v>79.569999999999993</v>
      </c>
      <c r="F197">
        <v>11</v>
      </c>
      <c r="G197">
        <v>15.7</v>
      </c>
      <c r="H197">
        <v>3</v>
      </c>
      <c r="I197" t="s">
        <v>24</v>
      </c>
      <c r="J197">
        <v>16</v>
      </c>
      <c r="K197">
        <v>48.8</v>
      </c>
      <c r="L197">
        <v>6.9</v>
      </c>
      <c r="M197" t="s">
        <v>53</v>
      </c>
      <c r="N197" t="s">
        <v>43</v>
      </c>
    </row>
    <row r="198" spans="1:14" x14ac:dyDescent="0.2">
      <c r="A198" t="s">
        <v>237</v>
      </c>
      <c r="B198" t="s">
        <v>32</v>
      </c>
      <c r="C198">
        <v>759.26</v>
      </c>
      <c r="D198">
        <v>9</v>
      </c>
      <c r="E198">
        <v>78.22</v>
      </c>
      <c r="F198">
        <v>28</v>
      </c>
      <c r="G198">
        <v>20</v>
      </c>
      <c r="H198">
        <v>5</v>
      </c>
      <c r="I198" t="s">
        <v>24</v>
      </c>
      <c r="J198">
        <v>15</v>
      </c>
      <c r="K198">
        <v>60</v>
      </c>
      <c r="L198">
        <v>24.2</v>
      </c>
      <c r="M198" t="s">
        <v>55</v>
      </c>
      <c r="N198" t="s">
        <v>30</v>
      </c>
    </row>
    <row r="199" spans="1:14" x14ac:dyDescent="0.2">
      <c r="A199" t="s">
        <v>238</v>
      </c>
      <c r="B199" t="s">
        <v>32</v>
      </c>
      <c r="C199">
        <v>756.68</v>
      </c>
      <c r="D199">
        <v>11</v>
      </c>
      <c r="E199">
        <v>68.489999999999995</v>
      </c>
      <c r="F199">
        <v>14</v>
      </c>
      <c r="G199">
        <v>21.4</v>
      </c>
      <c r="H199">
        <v>5</v>
      </c>
      <c r="I199" t="s">
        <v>24</v>
      </c>
      <c r="J199">
        <v>14</v>
      </c>
      <c r="K199">
        <v>57.9</v>
      </c>
      <c r="L199">
        <v>15</v>
      </c>
      <c r="M199" t="s">
        <v>39</v>
      </c>
      <c r="N199" t="s">
        <v>26</v>
      </c>
    </row>
    <row r="200" spans="1:14" x14ac:dyDescent="0.2">
      <c r="A200" t="s">
        <v>239</v>
      </c>
      <c r="B200" t="s">
        <v>32</v>
      </c>
      <c r="C200">
        <v>374.03</v>
      </c>
      <c r="D200">
        <v>6</v>
      </c>
      <c r="E200">
        <v>63.63</v>
      </c>
      <c r="F200">
        <v>24</v>
      </c>
      <c r="G200">
        <v>34.9</v>
      </c>
      <c r="H200">
        <v>5</v>
      </c>
      <c r="I200" t="s">
        <v>33</v>
      </c>
      <c r="J200">
        <v>0</v>
      </c>
      <c r="K200">
        <v>59.9</v>
      </c>
      <c r="L200">
        <v>18.899999999999999</v>
      </c>
      <c r="M200" t="s">
        <v>47</v>
      </c>
      <c r="N200" t="s">
        <v>40</v>
      </c>
    </row>
    <row r="201" spans="1:14" x14ac:dyDescent="0.2">
      <c r="A201" t="s">
        <v>240</v>
      </c>
      <c r="B201" t="s">
        <v>32</v>
      </c>
      <c r="C201">
        <v>390.68</v>
      </c>
      <c r="D201">
        <v>9</v>
      </c>
      <c r="E201">
        <v>42.03</v>
      </c>
      <c r="F201">
        <v>66</v>
      </c>
      <c r="G201">
        <v>60.1</v>
      </c>
      <c r="H201">
        <v>2</v>
      </c>
      <c r="I201" t="s">
        <v>33</v>
      </c>
      <c r="J201">
        <v>0</v>
      </c>
      <c r="K201">
        <v>33.1</v>
      </c>
      <c r="L201">
        <v>5.2</v>
      </c>
      <c r="M201" t="s">
        <v>55</v>
      </c>
      <c r="N201" t="s">
        <v>40</v>
      </c>
    </row>
    <row r="202" spans="1:14" x14ac:dyDescent="0.2">
      <c r="A202" t="s">
        <v>241</v>
      </c>
      <c r="B202" t="s">
        <v>35</v>
      </c>
      <c r="C202">
        <v>770.57</v>
      </c>
      <c r="D202">
        <v>8</v>
      </c>
      <c r="E202">
        <v>91.87</v>
      </c>
      <c r="F202">
        <v>19</v>
      </c>
      <c r="G202">
        <v>8.8000000000000007</v>
      </c>
      <c r="H202">
        <v>4</v>
      </c>
      <c r="I202" t="s">
        <v>24</v>
      </c>
      <c r="J202">
        <v>14</v>
      </c>
      <c r="K202">
        <v>72</v>
      </c>
      <c r="L202">
        <v>20.2</v>
      </c>
      <c r="M202" t="s">
        <v>47</v>
      </c>
      <c r="N202" t="s">
        <v>30</v>
      </c>
    </row>
    <row r="203" spans="1:14" x14ac:dyDescent="0.2">
      <c r="A203" t="s">
        <v>242</v>
      </c>
      <c r="B203" t="s">
        <v>37</v>
      </c>
      <c r="C203">
        <v>296.3</v>
      </c>
      <c r="D203">
        <v>5</v>
      </c>
      <c r="E203">
        <v>58.39</v>
      </c>
      <c r="F203">
        <v>2</v>
      </c>
      <c r="G203">
        <v>31.6</v>
      </c>
      <c r="H203">
        <v>4</v>
      </c>
      <c r="I203" t="s">
        <v>24</v>
      </c>
      <c r="J203">
        <v>3</v>
      </c>
      <c r="K203">
        <v>53.4</v>
      </c>
      <c r="L203">
        <v>13.8</v>
      </c>
      <c r="M203" t="s">
        <v>25</v>
      </c>
      <c r="N203" t="s">
        <v>30</v>
      </c>
    </row>
    <row r="204" spans="1:14" x14ac:dyDescent="0.2">
      <c r="A204" t="s">
        <v>243</v>
      </c>
      <c r="B204" t="s">
        <v>37</v>
      </c>
      <c r="C204">
        <v>307.93</v>
      </c>
      <c r="D204">
        <v>6</v>
      </c>
      <c r="E204">
        <v>53.81</v>
      </c>
      <c r="F204">
        <v>33</v>
      </c>
      <c r="G204">
        <v>24.5</v>
      </c>
      <c r="H204">
        <v>4</v>
      </c>
      <c r="I204" t="s">
        <v>24</v>
      </c>
      <c r="J204">
        <v>10</v>
      </c>
      <c r="K204">
        <v>50.6</v>
      </c>
      <c r="L204">
        <v>14.7</v>
      </c>
      <c r="M204" t="s">
        <v>39</v>
      </c>
      <c r="N204" t="s">
        <v>43</v>
      </c>
    </row>
    <row r="205" spans="1:14" x14ac:dyDescent="0.2">
      <c r="A205" t="s">
        <v>244</v>
      </c>
      <c r="B205" t="s">
        <v>32</v>
      </c>
      <c r="C205">
        <v>379.86</v>
      </c>
      <c r="D205">
        <v>6</v>
      </c>
      <c r="E205">
        <v>63.67</v>
      </c>
      <c r="F205">
        <v>51</v>
      </c>
      <c r="G205">
        <v>18</v>
      </c>
      <c r="H205">
        <v>4</v>
      </c>
      <c r="I205" t="s">
        <v>33</v>
      </c>
      <c r="J205">
        <v>0</v>
      </c>
      <c r="K205">
        <v>50.9</v>
      </c>
      <c r="L205">
        <v>13.4</v>
      </c>
      <c r="M205" t="s">
        <v>47</v>
      </c>
      <c r="N205" t="s">
        <v>45</v>
      </c>
    </row>
    <row r="206" spans="1:14" x14ac:dyDescent="0.2">
      <c r="A206" t="s">
        <v>245</v>
      </c>
      <c r="B206" t="s">
        <v>35</v>
      </c>
      <c r="C206">
        <v>176.75</v>
      </c>
      <c r="D206">
        <v>3</v>
      </c>
      <c r="E206">
        <v>56.23</v>
      </c>
      <c r="F206">
        <v>21</v>
      </c>
      <c r="G206">
        <v>23.9</v>
      </c>
      <c r="H206">
        <v>4</v>
      </c>
      <c r="I206" t="s">
        <v>24</v>
      </c>
      <c r="J206">
        <v>3</v>
      </c>
      <c r="K206">
        <v>31</v>
      </c>
      <c r="L206">
        <v>10.7</v>
      </c>
      <c r="M206" t="s">
        <v>39</v>
      </c>
      <c r="N206" t="s">
        <v>30</v>
      </c>
    </row>
    <row r="207" spans="1:14" x14ac:dyDescent="0.2">
      <c r="A207" t="s">
        <v>246</v>
      </c>
      <c r="B207" t="s">
        <v>37</v>
      </c>
      <c r="C207">
        <v>300.14999999999998</v>
      </c>
      <c r="D207">
        <v>5</v>
      </c>
      <c r="E207">
        <v>61.58</v>
      </c>
      <c r="F207">
        <v>19</v>
      </c>
      <c r="G207">
        <v>9.1</v>
      </c>
      <c r="H207">
        <v>3</v>
      </c>
      <c r="I207" t="s">
        <v>24</v>
      </c>
      <c r="J207">
        <v>6</v>
      </c>
      <c r="K207">
        <v>51.4</v>
      </c>
      <c r="L207">
        <v>17.7</v>
      </c>
      <c r="M207" t="s">
        <v>47</v>
      </c>
      <c r="N207" t="s">
        <v>43</v>
      </c>
    </row>
    <row r="208" spans="1:14" x14ac:dyDescent="0.2">
      <c r="A208" t="s">
        <v>247</v>
      </c>
      <c r="B208" t="s">
        <v>37</v>
      </c>
      <c r="C208">
        <v>179.56</v>
      </c>
      <c r="D208">
        <v>5</v>
      </c>
      <c r="E208">
        <v>35.21</v>
      </c>
      <c r="F208">
        <v>4</v>
      </c>
      <c r="G208">
        <v>54.9</v>
      </c>
      <c r="H208">
        <v>2</v>
      </c>
      <c r="I208" t="s">
        <v>33</v>
      </c>
      <c r="J208">
        <v>0</v>
      </c>
      <c r="K208">
        <v>41</v>
      </c>
      <c r="L208">
        <v>5.3</v>
      </c>
      <c r="M208" t="s">
        <v>55</v>
      </c>
      <c r="N208" t="s">
        <v>40</v>
      </c>
    </row>
    <row r="209" spans="1:14" x14ac:dyDescent="0.2">
      <c r="A209" t="s">
        <v>248</v>
      </c>
      <c r="B209" t="s">
        <v>35</v>
      </c>
      <c r="C209">
        <v>167.38</v>
      </c>
      <c r="D209">
        <v>3</v>
      </c>
      <c r="E209">
        <v>53.85</v>
      </c>
      <c r="F209">
        <v>136</v>
      </c>
      <c r="G209">
        <v>4.2</v>
      </c>
      <c r="H209">
        <v>1</v>
      </c>
      <c r="I209" t="s">
        <v>33</v>
      </c>
      <c r="J209">
        <v>0</v>
      </c>
      <c r="K209">
        <v>12.5</v>
      </c>
      <c r="L209">
        <v>0</v>
      </c>
      <c r="M209" t="s">
        <v>55</v>
      </c>
      <c r="N209" t="s">
        <v>45</v>
      </c>
    </row>
    <row r="210" spans="1:14" x14ac:dyDescent="0.2">
      <c r="A210" t="s">
        <v>249</v>
      </c>
      <c r="B210" t="s">
        <v>37</v>
      </c>
      <c r="C210">
        <v>258.64</v>
      </c>
      <c r="D210">
        <v>4</v>
      </c>
      <c r="E210">
        <v>64.77</v>
      </c>
      <c r="F210">
        <v>156</v>
      </c>
      <c r="G210">
        <v>26.8</v>
      </c>
      <c r="H210">
        <v>2</v>
      </c>
      <c r="I210" t="s">
        <v>33</v>
      </c>
      <c r="J210">
        <v>0</v>
      </c>
      <c r="K210">
        <v>6.6</v>
      </c>
      <c r="L210">
        <v>1.4</v>
      </c>
      <c r="M210" t="s">
        <v>39</v>
      </c>
      <c r="N210" t="s">
        <v>40</v>
      </c>
    </row>
    <row r="211" spans="1:14" x14ac:dyDescent="0.2">
      <c r="A211" t="s">
        <v>250</v>
      </c>
      <c r="B211" t="s">
        <v>37</v>
      </c>
      <c r="C211">
        <v>521.34</v>
      </c>
      <c r="D211">
        <v>7</v>
      </c>
      <c r="E211">
        <v>71.48</v>
      </c>
      <c r="F211">
        <v>38</v>
      </c>
      <c r="G211">
        <v>22.2</v>
      </c>
      <c r="H211">
        <v>3</v>
      </c>
      <c r="I211" t="s">
        <v>24</v>
      </c>
      <c r="J211">
        <v>10</v>
      </c>
      <c r="K211">
        <v>68.7</v>
      </c>
      <c r="L211">
        <v>13.4</v>
      </c>
      <c r="M211" t="s">
        <v>25</v>
      </c>
      <c r="N211" t="s">
        <v>30</v>
      </c>
    </row>
    <row r="212" spans="1:14" x14ac:dyDescent="0.2">
      <c r="A212" t="s">
        <v>251</v>
      </c>
      <c r="B212" t="s">
        <v>58</v>
      </c>
      <c r="C212">
        <v>112.56</v>
      </c>
      <c r="D212">
        <v>2</v>
      </c>
      <c r="E212">
        <v>55.81</v>
      </c>
      <c r="F212">
        <v>69</v>
      </c>
      <c r="G212">
        <v>23</v>
      </c>
      <c r="H212">
        <v>6</v>
      </c>
      <c r="I212" t="s">
        <v>33</v>
      </c>
      <c r="J212">
        <v>0</v>
      </c>
      <c r="K212">
        <v>35.700000000000003</v>
      </c>
      <c r="L212">
        <v>16.3</v>
      </c>
      <c r="M212" t="s">
        <v>55</v>
      </c>
      <c r="N212" t="s">
        <v>30</v>
      </c>
    </row>
    <row r="213" spans="1:14" x14ac:dyDescent="0.2">
      <c r="A213" t="s">
        <v>252</v>
      </c>
      <c r="B213" t="s">
        <v>35</v>
      </c>
      <c r="C213">
        <v>582.54</v>
      </c>
      <c r="D213">
        <v>10</v>
      </c>
      <c r="E213">
        <v>60.32</v>
      </c>
      <c r="F213">
        <v>10</v>
      </c>
      <c r="G213">
        <v>13.3</v>
      </c>
      <c r="H213">
        <v>3</v>
      </c>
      <c r="I213" t="s">
        <v>24</v>
      </c>
      <c r="J213">
        <v>8</v>
      </c>
      <c r="K213">
        <v>61.3</v>
      </c>
      <c r="L213">
        <v>13.8</v>
      </c>
      <c r="M213" t="s">
        <v>53</v>
      </c>
      <c r="N213" t="s">
        <v>43</v>
      </c>
    </row>
    <row r="214" spans="1:14" x14ac:dyDescent="0.2">
      <c r="A214" t="s">
        <v>253</v>
      </c>
      <c r="B214" t="s">
        <v>35</v>
      </c>
      <c r="C214">
        <v>351.74</v>
      </c>
      <c r="D214">
        <v>5</v>
      </c>
      <c r="E214">
        <v>74.209999999999994</v>
      </c>
      <c r="F214">
        <v>17</v>
      </c>
      <c r="G214">
        <v>19.3</v>
      </c>
      <c r="H214">
        <v>3</v>
      </c>
      <c r="I214" t="s">
        <v>24</v>
      </c>
      <c r="J214">
        <v>11</v>
      </c>
      <c r="K214">
        <v>60.8</v>
      </c>
      <c r="L214">
        <v>18.3</v>
      </c>
      <c r="M214" t="s">
        <v>25</v>
      </c>
      <c r="N214" t="s">
        <v>40</v>
      </c>
    </row>
    <row r="215" spans="1:14" x14ac:dyDescent="0.2">
      <c r="A215" t="s">
        <v>254</v>
      </c>
      <c r="B215" t="s">
        <v>37</v>
      </c>
      <c r="C215">
        <v>145.25</v>
      </c>
      <c r="D215">
        <v>3</v>
      </c>
      <c r="E215">
        <v>47.45</v>
      </c>
      <c r="F215">
        <v>33</v>
      </c>
      <c r="G215">
        <v>52.9</v>
      </c>
      <c r="H215">
        <v>2</v>
      </c>
      <c r="I215" t="s">
        <v>24</v>
      </c>
      <c r="J215">
        <v>3</v>
      </c>
      <c r="K215">
        <v>41</v>
      </c>
      <c r="L215">
        <v>11.5</v>
      </c>
      <c r="M215" t="s">
        <v>55</v>
      </c>
      <c r="N215" t="s">
        <v>45</v>
      </c>
    </row>
    <row r="216" spans="1:14" x14ac:dyDescent="0.2">
      <c r="A216" t="s">
        <v>255</v>
      </c>
      <c r="B216" t="s">
        <v>35</v>
      </c>
      <c r="C216">
        <v>128.91</v>
      </c>
      <c r="D216">
        <v>2</v>
      </c>
      <c r="E216">
        <v>60.5</v>
      </c>
      <c r="F216">
        <v>113</v>
      </c>
      <c r="G216">
        <v>1.1000000000000001</v>
      </c>
      <c r="H216">
        <v>1</v>
      </c>
      <c r="I216" t="s">
        <v>33</v>
      </c>
      <c r="J216">
        <v>0</v>
      </c>
      <c r="K216">
        <v>14.7</v>
      </c>
      <c r="L216">
        <v>3</v>
      </c>
      <c r="M216" t="s">
        <v>53</v>
      </c>
      <c r="N216" t="s">
        <v>26</v>
      </c>
    </row>
    <row r="217" spans="1:14" x14ac:dyDescent="0.2">
      <c r="A217" t="s">
        <v>256</v>
      </c>
      <c r="B217" t="s">
        <v>37</v>
      </c>
      <c r="C217">
        <v>60.78</v>
      </c>
      <c r="D217">
        <v>2</v>
      </c>
      <c r="E217">
        <v>28.14</v>
      </c>
      <c r="F217">
        <v>112</v>
      </c>
      <c r="G217">
        <v>0.8</v>
      </c>
      <c r="H217">
        <v>2</v>
      </c>
      <c r="I217" t="s">
        <v>33</v>
      </c>
      <c r="J217">
        <v>0</v>
      </c>
      <c r="K217">
        <v>37.5</v>
      </c>
      <c r="L217">
        <v>0.8</v>
      </c>
      <c r="M217" t="s">
        <v>39</v>
      </c>
      <c r="N217" t="s">
        <v>26</v>
      </c>
    </row>
    <row r="218" spans="1:14" x14ac:dyDescent="0.2">
      <c r="A218" t="s">
        <v>257</v>
      </c>
      <c r="B218" t="s">
        <v>23</v>
      </c>
      <c r="C218">
        <v>515.41</v>
      </c>
      <c r="D218">
        <v>6</v>
      </c>
      <c r="E218">
        <v>85.88</v>
      </c>
      <c r="F218">
        <v>28</v>
      </c>
      <c r="G218">
        <v>9.6999999999999993</v>
      </c>
      <c r="H218">
        <v>4</v>
      </c>
      <c r="I218" t="s">
        <v>24</v>
      </c>
      <c r="J218">
        <v>3</v>
      </c>
      <c r="K218">
        <v>56.3</v>
      </c>
      <c r="L218">
        <v>20.399999999999999</v>
      </c>
      <c r="M218" t="s">
        <v>47</v>
      </c>
      <c r="N218" t="s">
        <v>43</v>
      </c>
    </row>
    <row r="219" spans="1:14" x14ac:dyDescent="0.2">
      <c r="A219" t="s">
        <v>258</v>
      </c>
      <c r="B219" t="s">
        <v>32</v>
      </c>
      <c r="C219">
        <v>141.88999999999999</v>
      </c>
      <c r="D219">
        <v>2</v>
      </c>
      <c r="E219">
        <v>73.52</v>
      </c>
      <c r="F219">
        <v>40</v>
      </c>
      <c r="G219">
        <v>23.1</v>
      </c>
      <c r="H219">
        <v>4</v>
      </c>
      <c r="I219" t="s">
        <v>24</v>
      </c>
      <c r="J219">
        <v>6</v>
      </c>
      <c r="K219">
        <v>50.5</v>
      </c>
      <c r="L219">
        <v>8.5</v>
      </c>
      <c r="M219" t="s">
        <v>29</v>
      </c>
      <c r="N219" t="s">
        <v>45</v>
      </c>
    </row>
    <row r="220" spans="1:14" x14ac:dyDescent="0.2">
      <c r="A220" t="s">
        <v>259</v>
      </c>
      <c r="B220" t="s">
        <v>35</v>
      </c>
      <c r="C220">
        <v>166.53</v>
      </c>
      <c r="D220">
        <v>5</v>
      </c>
      <c r="E220">
        <v>32.96</v>
      </c>
      <c r="F220">
        <v>65</v>
      </c>
      <c r="G220">
        <v>42.6</v>
      </c>
      <c r="H220">
        <v>2</v>
      </c>
      <c r="I220" t="s">
        <v>33</v>
      </c>
      <c r="J220">
        <v>0</v>
      </c>
      <c r="K220">
        <v>41.6</v>
      </c>
      <c r="L220">
        <v>13</v>
      </c>
      <c r="M220" t="s">
        <v>25</v>
      </c>
      <c r="N220" t="s">
        <v>40</v>
      </c>
    </row>
    <row r="221" spans="1:14" x14ac:dyDescent="0.2">
      <c r="A221" t="s">
        <v>260</v>
      </c>
      <c r="B221" t="s">
        <v>32</v>
      </c>
      <c r="C221">
        <v>324.82</v>
      </c>
      <c r="D221">
        <v>5</v>
      </c>
      <c r="E221">
        <v>70.239999999999995</v>
      </c>
      <c r="F221">
        <v>25</v>
      </c>
      <c r="G221">
        <v>16</v>
      </c>
      <c r="H221">
        <v>5</v>
      </c>
      <c r="I221" t="s">
        <v>33</v>
      </c>
      <c r="J221">
        <v>0</v>
      </c>
      <c r="K221">
        <v>47.6</v>
      </c>
      <c r="L221">
        <v>10</v>
      </c>
      <c r="M221" t="s">
        <v>29</v>
      </c>
      <c r="N221" t="s">
        <v>26</v>
      </c>
    </row>
    <row r="222" spans="1:14" x14ac:dyDescent="0.2">
      <c r="A222" t="s">
        <v>261</v>
      </c>
      <c r="B222" t="s">
        <v>35</v>
      </c>
      <c r="C222">
        <v>290.62</v>
      </c>
      <c r="D222">
        <v>5</v>
      </c>
      <c r="E222">
        <v>60.27</v>
      </c>
      <c r="F222">
        <v>38</v>
      </c>
      <c r="G222">
        <v>24.8</v>
      </c>
      <c r="H222">
        <v>6</v>
      </c>
      <c r="I222" t="s">
        <v>24</v>
      </c>
      <c r="J222">
        <v>10</v>
      </c>
      <c r="K222">
        <v>51.3</v>
      </c>
      <c r="L222">
        <v>15.7</v>
      </c>
      <c r="M222" t="s">
        <v>47</v>
      </c>
      <c r="N222" t="s">
        <v>30</v>
      </c>
    </row>
    <row r="223" spans="1:14" x14ac:dyDescent="0.2">
      <c r="A223" t="s">
        <v>262</v>
      </c>
      <c r="B223" t="s">
        <v>58</v>
      </c>
      <c r="C223">
        <v>456.84</v>
      </c>
      <c r="D223">
        <v>6</v>
      </c>
      <c r="E223">
        <v>71.25</v>
      </c>
      <c r="F223">
        <v>30</v>
      </c>
      <c r="G223">
        <v>20</v>
      </c>
      <c r="H223">
        <v>3</v>
      </c>
      <c r="I223" t="s">
        <v>24</v>
      </c>
      <c r="J223">
        <v>6</v>
      </c>
      <c r="K223">
        <v>43.3</v>
      </c>
      <c r="L223">
        <v>7.2</v>
      </c>
      <c r="M223" t="s">
        <v>25</v>
      </c>
      <c r="N223" t="s">
        <v>43</v>
      </c>
    </row>
    <row r="224" spans="1:14" x14ac:dyDescent="0.2">
      <c r="A224" t="s">
        <v>263</v>
      </c>
      <c r="B224" t="s">
        <v>37</v>
      </c>
      <c r="C224">
        <v>241.32</v>
      </c>
      <c r="D224">
        <v>5</v>
      </c>
      <c r="E224">
        <v>47.67</v>
      </c>
      <c r="F224">
        <v>2</v>
      </c>
      <c r="G224">
        <v>26.9</v>
      </c>
      <c r="H224">
        <v>4</v>
      </c>
      <c r="I224" t="s">
        <v>33</v>
      </c>
      <c r="J224">
        <v>0</v>
      </c>
      <c r="K224">
        <v>31.7</v>
      </c>
      <c r="L224">
        <v>17.100000000000001</v>
      </c>
      <c r="M224" t="s">
        <v>29</v>
      </c>
      <c r="N224" t="s">
        <v>40</v>
      </c>
    </row>
    <row r="225" spans="1:14" x14ac:dyDescent="0.2">
      <c r="A225" t="s">
        <v>264</v>
      </c>
      <c r="B225" t="s">
        <v>23</v>
      </c>
      <c r="C225">
        <v>305.83</v>
      </c>
      <c r="D225">
        <v>6</v>
      </c>
      <c r="E225">
        <v>49.46</v>
      </c>
      <c r="F225">
        <v>51</v>
      </c>
      <c r="G225">
        <v>43.5</v>
      </c>
      <c r="H225">
        <v>4</v>
      </c>
      <c r="I225" t="s">
        <v>33</v>
      </c>
      <c r="J225">
        <v>0</v>
      </c>
      <c r="K225">
        <v>45.3</v>
      </c>
      <c r="L225">
        <v>16</v>
      </c>
      <c r="M225" t="s">
        <v>29</v>
      </c>
      <c r="N225" t="s">
        <v>45</v>
      </c>
    </row>
    <row r="226" spans="1:14" x14ac:dyDescent="0.2">
      <c r="A226" t="s">
        <v>265</v>
      </c>
      <c r="B226" t="s">
        <v>23</v>
      </c>
      <c r="C226">
        <v>92.16</v>
      </c>
      <c r="D226">
        <v>2</v>
      </c>
      <c r="E226">
        <v>47.7</v>
      </c>
      <c r="F226">
        <v>92</v>
      </c>
      <c r="G226">
        <v>16.7</v>
      </c>
      <c r="H226">
        <v>3</v>
      </c>
      <c r="I226" t="s">
        <v>24</v>
      </c>
      <c r="J226">
        <v>2</v>
      </c>
      <c r="K226">
        <v>23.8</v>
      </c>
      <c r="L226">
        <v>10.1</v>
      </c>
      <c r="M226" t="s">
        <v>39</v>
      </c>
      <c r="N226" t="s">
        <v>45</v>
      </c>
    </row>
    <row r="227" spans="1:14" x14ac:dyDescent="0.2">
      <c r="A227" t="s">
        <v>266</v>
      </c>
      <c r="B227" t="s">
        <v>23</v>
      </c>
      <c r="C227">
        <v>57.92</v>
      </c>
      <c r="D227">
        <v>1</v>
      </c>
      <c r="E227">
        <v>54.18</v>
      </c>
      <c r="F227">
        <v>229</v>
      </c>
      <c r="G227">
        <v>8.3000000000000007</v>
      </c>
      <c r="H227">
        <v>2</v>
      </c>
      <c r="I227" t="s">
        <v>33</v>
      </c>
      <c r="J227">
        <v>0</v>
      </c>
      <c r="K227">
        <v>22.8</v>
      </c>
      <c r="L227">
        <v>7.6</v>
      </c>
      <c r="M227" t="s">
        <v>53</v>
      </c>
      <c r="N227" t="s">
        <v>43</v>
      </c>
    </row>
    <row r="228" spans="1:14" x14ac:dyDescent="0.2">
      <c r="A228" t="s">
        <v>267</v>
      </c>
      <c r="B228" t="s">
        <v>28</v>
      </c>
      <c r="C228">
        <v>742.1</v>
      </c>
      <c r="D228">
        <v>10</v>
      </c>
      <c r="E228">
        <v>74.64</v>
      </c>
      <c r="F228">
        <v>32</v>
      </c>
      <c r="G228">
        <v>19.600000000000001</v>
      </c>
      <c r="H228">
        <v>4</v>
      </c>
      <c r="I228" t="s">
        <v>24</v>
      </c>
      <c r="J228">
        <v>13</v>
      </c>
      <c r="K228">
        <v>62.1</v>
      </c>
      <c r="L228">
        <v>16.899999999999999</v>
      </c>
      <c r="M228" t="s">
        <v>29</v>
      </c>
      <c r="N228" t="s">
        <v>43</v>
      </c>
    </row>
    <row r="229" spans="1:14" x14ac:dyDescent="0.2">
      <c r="A229" t="s">
        <v>268</v>
      </c>
      <c r="B229" t="s">
        <v>23</v>
      </c>
      <c r="C229">
        <v>231.71</v>
      </c>
      <c r="D229">
        <v>4</v>
      </c>
      <c r="E229">
        <v>54.13</v>
      </c>
      <c r="F229">
        <v>41</v>
      </c>
      <c r="G229">
        <v>55.2</v>
      </c>
      <c r="H229">
        <v>2</v>
      </c>
      <c r="I229" t="s">
        <v>33</v>
      </c>
      <c r="J229">
        <v>0</v>
      </c>
      <c r="K229">
        <v>20.6</v>
      </c>
      <c r="L229">
        <v>12.3</v>
      </c>
      <c r="M229" t="s">
        <v>29</v>
      </c>
      <c r="N229" t="s">
        <v>43</v>
      </c>
    </row>
    <row r="230" spans="1:14" x14ac:dyDescent="0.2">
      <c r="A230" t="s">
        <v>269</v>
      </c>
      <c r="B230" t="s">
        <v>32</v>
      </c>
      <c r="C230">
        <v>73.87</v>
      </c>
      <c r="D230">
        <v>2</v>
      </c>
      <c r="E230">
        <v>35.119999999999997</v>
      </c>
      <c r="F230">
        <v>77</v>
      </c>
      <c r="G230">
        <v>43</v>
      </c>
      <c r="H230">
        <v>3</v>
      </c>
      <c r="I230" t="s">
        <v>24</v>
      </c>
      <c r="J230">
        <v>1</v>
      </c>
      <c r="K230">
        <v>19.3</v>
      </c>
      <c r="L230">
        <v>14.1</v>
      </c>
      <c r="M230" t="s">
        <v>47</v>
      </c>
      <c r="N230" t="s">
        <v>26</v>
      </c>
    </row>
    <row r="231" spans="1:14" x14ac:dyDescent="0.2">
      <c r="A231" t="s">
        <v>270</v>
      </c>
      <c r="B231" t="s">
        <v>35</v>
      </c>
      <c r="C231">
        <v>595.1</v>
      </c>
      <c r="D231">
        <v>7</v>
      </c>
      <c r="E231">
        <v>85.26</v>
      </c>
      <c r="F231">
        <v>7</v>
      </c>
      <c r="G231">
        <v>4.3</v>
      </c>
      <c r="H231">
        <v>3</v>
      </c>
      <c r="I231" t="s">
        <v>24</v>
      </c>
      <c r="J231">
        <v>16</v>
      </c>
      <c r="K231">
        <v>55.2</v>
      </c>
      <c r="L231">
        <v>11.7</v>
      </c>
      <c r="M231" t="s">
        <v>39</v>
      </c>
      <c r="N231" t="s">
        <v>45</v>
      </c>
    </row>
    <row r="232" spans="1:14" x14ac:dyDescent="0.2">
      <c r="A232" t="s">
        <v>271</v>
      </c>
      <c r="B232" t="s">
        <v>32</v>
      </c>
      <c r="C232">
        <v>115.72</v>
      </c>
      <c r="D232">
        <v>2</v>
      </c>
      <c r="E232">
        <v>61.62</v>
      </c>
      <c r="F232">
        <v>119</v>
      </c>
      <c r="G232">
        <v>34</v>
      </c>
      <c r="H232">
        <v>1</v>
      </c>
      <c r="I232" t="s">
        <v>33</v>
      </c>
      <c r="J232">
        <v>0</v>
      </c>
      <c r="K232">
        <v>31.2</v>
      </c>
      <c r="L232">
        <v>6.2</v>
      </c>
      <c r="M232" t="s">
        <v>29</v>
      </c>
      <c r="N232" t="s">
        <v>45</v>
      </c>
    </row>
    <row r="233" spans="1:14" x14ac:dyDescent="0.2">
      <c r="A233" t="s">
        <v>272</v>
      </c>
      <c r="B233" t="s">
        <v>58</v>
      </c>
      <c r="C233">
        <v>223.06</v>
      </c>
      <c r="D233">
        <v>5</v>
      </c>
      <c r="E233">
        <v>43.52</v>
      </c>
      <c r="F233">
        <v>29</v>
      </c>
      <c r="G233">
        <v>53.4</v>
      </c>
      <c r="H233">
        <v>3</v>
      </c>
      <c r="I233" t="s">
        <v>33</v>
      </c>
      <c r="J233">
        <v>0</v>
      </c>
      <c r="K233">
        <v>26.5</v>
      </c>
      <c r="L233">
        <v>8.8000000000000007</v>
      </c>
      <c r="M233" t="s">
        <v>39</v>
      </c>
      <c r="N233" t="s">
        <v>40</v>
      </c>
    </row>
    <row r="234" spans="1:14" x14ac:dyDescent="0.2">
      <c r="A234" t="s">
        <v>273</v>
      </c>
      <c r="B234" t="s">
        <v>58</v>
      </c>
      <c r="C234">
        <v>570.33000000000004</v>
      </c>
      <c r="D234">
        <v>8</v>
      </c>
      <c r="E234">
        <v>76.47</v>
      </c>
      <c r="F234">
        <v>26</v>
      </c>
      <c r="G234">
        <v>9.9</v>
      </c>
      <c r="H234">
        <v>3</v>
      </c>
      <c r="I234" t="s">
        <v>24</v>
      </c>
      <c r="J234">
        <v>11</v>
      </c>
      <c r="K234">
        <v>58.2</v>
      </c>
      <c r="L234">
        <v>18.399999999999999</v>
      </c>
      <c r="M234" t="s">
        <v>25</v>
      </c>
      <c r="N234" t="s">
        <v>40</v>
      </c>
    </row>
    <row r="235" spans="1:14" x14ac:dyDescent="0.2">
      <c r="A235" t="s">
        <v>274</v>
      </c>
      <c r="B235" t="s">
        <v>58</v>
      </c>
      <c r="C235">
        <v>452.74</v>
      </c>
      <c r="D235">
        <v>9</v>
      </c>
      <c r="E235">
        <v>51.5</v>
      </c>
      <c r="F235">
        <v>19</v>
      </c>
      <c r="G235">
        <v>19</v>
      </c>
      <c r="H235">
        <v>4</v>
      </c>
      <c r="I235" t="s">
        <v>24</v>
      </c>
      <c r="J235">
        <v>16</v>
      </c>
      <c r="K235">
        <v>50.4</v>
      </c>
      <c r="L235">
        <v>14.6</v>
      </c>
      <c r="M235" t="s">
        <v>25</v>
      </c>
      <c r="N235" t="s">
        <v>30</v>
      </c>
    </row>
    <row r="236" spans="1:14" x14ac:dyDescent="0.2">
      <c r="A236" t="s">
        <v>275</v>
      </c>
      <c r="B236" t="s">
        <v>37</v>
      </c>
      <c r="C236">
        <v>189.73</v>
      </c>
      <c r="D236">
        <v>4</v>
      </c>
      <c r="E236">
        <v>44.72</v>
      </c>
      <c r="F236">
        <v>149</v>
      </c>
      <c r="G236">
        <v>16.399999999999999</v>
      </c>
      <c r="H236">
        <v>1</v>
      </c>
      <c r="I236" t="s">
        <v>33</v>
      </c>
      <c r="J236">
        <v>0</v>
      </c>
      <c r="K236">
        <v>18.8</v>
      </c>
      <c r="L236">
        <v>1.4</v>
      </c>
      <c r="M236" t="s">
        <v>39</v>
      </c>
      <c r="N236" t="s">
        <v>45</v>
      </c>
    </row>
    <row r="237" spans="1:14" x14ac:dyDescent="0.2">
      <c r="A237" t="s">
        <v>276</v>
      </c>
      <c r="B237" t="s">
        <v>32</v>
      </c>
      <c r="C237">
        <v>425.64</v>
      </c>
      <c r="D237">
        <v>7</v>
      </c>
      <c r="E237">
        <v>56.86</v>
      </c>
      <c r="F237">
        <v>45</v>
      </c>
      <c r="G237">
        <v>13.9</v>
      </c>
      <c r="H237">
        <v>4</v>
      </c>
      <c r="I237" t="s">
        <v>33</v>
      </c>
      <c r="J237">
        <v>0</v>
      </c>
      <c r="K237">
        <v>60.2</v>
      </c>
      <c r="L237">
        <v>14.7</v>
      </c>
      <c r="M237" t="s">
        <v>39</v>
      </c>
      <c r="N237" t="s">
        <v>40</v>
      </c>
    </row>
    <row r="238" spans="1:14" x14ac:dyDescent="0.2">
      <c r="A238" t="s">
        <v>277</v>
      </c>
      <c r="B238" t="s">
        <v>23</v>
      </c>
      <c r="C238">
        <v>337.85</v>
      </c>
      <c r="D238">
        <v>5</v>
      </c>
      <c r="E238">
        <v>64.23</v>
      </c>
      <c r="F238">
        <v>65</v>
      </c>
      <c r="G238">
        <v>13.3</v>
      </c>
      <c r="H238">
        <v>5</v>
      </c>
      <c r="I238" t="s">
        <v>33</v>
      </c>
      <c r="J238">
        <v>0</v>
      </c>
      <c r="K238">
        <v>64.3</v>
      </c>
      <c r="L238">
        <v>21.1</v>
      </c>
      <c r="M238" t="s">
        <v>53</v>
      </c>
      <c r="N238" t="s">
        <v>45</v>
      </c>
    </row>
    <row r="239" spans="1:14" x14ac:dyDescent="0.2">
      <c r="A239" t="s">
        <v>278</v>
      </c>
      <c r="B239" t="s">
        <v>37</v>
      </c>
      <c r="C239">
        <v>168.5</v>
      </c>
      <c r="D239">
        <v>4</v>
      </c>
      <c r="E239">
        <v>43.87</v>
      </c>
      <c r="F239">
        <v>64</v>
      </c>
      <c r="G239">
        <v>45</v>
      </c>
      <c r="H239">
        <v>3</v>
      </c>
      <c r="I239" t="s">
        <v>33</v>
      </c>
      <c r="J239">
        <v>0</v>
      </c>
      <c r="K239">
        <v>45.3</v>
      </c>
      <c r="L239">
        <v>9.1</v>
      </c>
      <c r="M239" t="s">
        <v>29</v>
      </c>
      <c r="N239" t="s">
        <v>43</v>
      </c>
    </row>
    <row r="240" spans="1:14" x14ac:dyDescent="0.2">
      <c r="A240" t="s">
        <v>279</v>
      </c>
      <c r="B240" t="s">
        <v>35</v>
      </c>
      <c r="C240">
        <v>252.37</v>
      </c>
      <c r="D240">
        <v>5</v>
      </c>
      <c r="E240">
        <v>51.75</v>
      </c>
      <c r="F240">
        <v>42</v>
      </c>
      <c r="G240">
        <v>24.6</v>
      </c>
      <c r="H240">
        <v>1</v>
      </c>
      <c r="I240" t="s">
        <v>24</v>
      </c>
      <c r="J240">
        <v>8</v>
      </c>
      <c r="K240">
        <v>53.1</v>
      </c>
      <c r="L240">
        <v>7.2</v>
      </c>
      <c r="M240" t="s">
        <v>47</v>
      </c>
      <c r="N240" t="s">
        <v>43</v>
      </c>
    </row>
    <row r="241" spans="1:14" x14ac:dyDescent="0.2">
      <c r="A241" t="s">
        <v>280</v>
      </c>
      <c r="B241" t="s">
        <v>37</v>
      </c>
      <c r="C241">
        <v>254.34</v>
      </c>
      <c r="D241">
        <v>4</v>
      </c>
      <c r="E241">
        <v>62</v>
      </c>
      <c r="F241">
        <v>166</v>
      </c>
      <c r="G241">
        <v>20.7</v>
      </c>
      <c r="H241">
        <v>1</v>
      </c>
      <c r="I241" t="s">
        <v>33</v>
      </c>
      <c r="J241">
        <v>0</v>
      </c>
      <c r="K241">
        <v>28.8</v>
      </c>
      <c r="L241">
        <v>5.2</v>
      </c>
      <c r="M241" t="s">
        <v>47</v>
      </c>
      <c r="N241" t="s">
        <v>26</v>
      </c>
    </row>
    <row r="242" spans="1:14" x14ac:dyDescent="0.2">
      <c r="A242" t="s">
        <v>281</v>
      </c>
      <c r="B242" t="s">
        <v>28</v>
      </c>
      <c r="C242">
        <v>203.04</v>
      </c>
      <c r="D242">
        <v>4</v>
      </c>
      <c r="E242">
        <v>51.43</v>
      </c>
      <c r="F242">
        <v>11</v>
      </c>
      <c r="G242">
        <v>29.6</v>
      </c>
      <c r="H242">
        <v>5</v>
      </c>
      <c r="I242" t="s">
        <v>24</v>
      </c>
      <c r="J242">
        <v>1</v>
      </c>
      <c r="K242">
        <v>60.6</v>
      </c>
      <c r="L242">
        <v>11.4</v>
      </c>
      <c r="M242" t="s">
        <v>25</v>
      </c>
      <c r="N242" t="s">
        <v>40</v>
      </c>
    </row>
    <row r="243" spans="1:14" x14ac:dyDescent="0.2">
      <c r="A243" t="s">
        <v>282</v>
      </c>
      <c r="B243" t="s">
        <v>28</v>
      </c>
      <c r="C243">
        <v>238.85</v>
      </c>
      <c r="D243">
        <v>5</v>
      </c>
      <c r="E243">
        <v>45.11</v>
      </c>
      <c r="F243">
        <v>36</v>
      </c>
      <c r="G243">
        <v>51</v>
      </c>
      <c r="H243">
        <v>2</v>
      </c>
      <c r="I243" t="s">
        <v>24</v>
      </c>
      <c r="J243">
        <v>2</v>
      </c>
      <c r="K243">
        <v>41.4</v>
      </c>
      <c r="L243">
        <v>8.5</v>
      </c>
      <c r="M243" t="s">
        <v>47</v>
      </c>
      <c r="N243" t="s">
        <v>30</v>
      </c>
    </row>
    <row r="244" spans="1:14" x14ac:dyDescent="0.2">
      <c r="A244" t="s">
        <v>283</v>
      </c>
      <c r="B244" t="s">
        <v>28</v>
      </c>
      <c r="C244">
        <v>98.81</v>
      </c>
      <c r="D244">
        <v>2</v>
      </c>
      <c r="E244">
        <v>53.33</v>
      </c>
      <c r="F244">
        <v>54</v>
      </c>
      <c r="G244">
        <v>29.4</v>
      </c>
      <c r="H244">
        <v>3</v>
      </c>
      <c r="I244" t="s">
        <v>24</v>
      </c>
      <c r="J244">
        <v>2</v>
      </c>
      <c r="K244">
        <v>22.2</v>
      </c>
      <c r="L244">
        <v>3</v>
      </c>
      <c r="M244" t="s">
        <v>25</v>
      </c>
      <c r="N244" t="s">
        <v>43</v>
      </c>
    </row>
    <row r="245" spans="1:14" x14ac:dyDescent="0.2">
      <c r="A245" t="s">
        <v>284</v>
      </c>
      <c r="B245" t="s">
        <v>23</v>
      </c>
      <c r="C245">
        <v>145.76</v>
      </c>
      <c r="D245">
        <v>4</v>
      </c>
      <c r="E245">
        <v>34.229999999999997</v>
      </c>
      <c r="F245">
        <v>141</v>
      </c>
      <c r="G245">
        <v>36.9</v>
      </c>
      <c r="H245">
        <v>2</v>
      </c>
      <c r="I245" t="s">
        <v>33</v>
      </c>
      <c r="J245">
        <v>0</v>
      </c>
      <c r="K245">
        <v>13.8</v>
      </c>
      <c r="L245">
        <v>7.8</v>
      </c>
      <c r="M245" t="s">
        <v>55</v>
      </c>
      <c r="N245" t="s">
        <v>30</v>
      </c>
    </row>
    <row r="246" spans="1:14" x14ac:dyDescent="0.2">
      <c r="A246" t="s">
        <v>285</v>
      </c>
      <c r="B246" t="s">
        <v>37</v>
      </c>
      <c r="C246">
        <v>186.92</v>
      </c>
      <c r="D246">
        <v>7</v>
      </c>
      <c r="E246">
        <v>24.98</v>
      </c>
      <c r="F246">
        <v>27</v>
      </c>
      <c r="G246">
        <v>46.8</v>
      </c>
      <c r="H246">
        <v>3</v>
      </c>
      <c r="I246" t="s">
        <v>24</v>
      </c>
      <c r="J246">
        <v>7</v>
      </c>
      <c r="K246">
        <v>44.4</v>
      </c>
      <c r="L246">
        <v>7.8</v>
      </c>
      <c r="M246" t="s">
        <v>25</v>
      </c>
      <c r="N246" t="s">
        <v>30</v>
      </c>
    </row>
    <row r="247" spans="1:14" x14ac:dyDescent="0.2">
      <c r="A247" t="s">
        <v>286</v>
      </c>
      <c r="B247" t="s">
        <v>28</v>
      </c>
      <c r="C247">
        <v>188.9</v>
      </c>
      <c r="D247">
        <v>4</v>
      </c>
      <c r="E247">
        <v>49.93</v>
      </c>
      <c r="F247">
        <v>28</v>
      </c>
      <c r="G247">
        <v>34.4</v>
      </c>
      <c r="H247">
        <v>2</v>
      </c>
      <c r="I247" t="s">
        <v>24</v>
      </c>
      <c r="J247">
        <v>6</v>
      </c>
      <c r="K247">
        <v>54.7</v>
      </c>
      <c r="L247">
        <v>1.1000000000000001</v>
      </c>
      <c r="M247" t="s">
        <v>39</v>
      </c>
      <c r="N247" t="s">
        <v>43</v>
      </c>
    </row>
    <row r="248" spans="1:14" x14ac:dyDescent="0.2">
      <c r="A248" t="s">
        <v>287</v>
      </c>
      <c r="B248" t="s">
        <v>23</v>
      </c>
      <c r="C248">
        <v>395.53</v>
      </c>
      <c r="D248">
        <v>7</v>
      </c>
      <c r="E248">
        <v>60.82</v>
      </c>
      <c r="F248">
        <v>43</v>
      </c>
      <c r="G248">
        <v>19.899999999999999</v>
      </c>
      <c r="H248">
        <v>4</v>
      </c>
      <c r="I248" t="s">
        <v>24</v>
      </c>
      <c r="J248">
        <v>5</v>
      </c>
      <c r="K248">
        <v>65</v>
      </c>
      <c r="L248">
        <v>8.6999999999999993</v>
      </c>
      <c r="M248" t="s">
        <v>25</v>
      </c>
      <c r="N248" t="s">
        <v>26</v>
      </c>
    </row>
    <row r="249" spans="1:14" x14ac:dyDescent="0.2">
      <c r="A249" t="s">
        <v>288</v>
      </c>
      <c r="B249" t="s">
        <v>28</v>
      </c>
      <c r="C249">
        <v>95.7</v>
      </c>
      <c r="D249">
        <v>2</v>
      </c>
      <c r="E249">
        <v>50.01</v>
      </c>
      <c r="F249">
        <v>167</v>
      </c>
      <c r="G249">
        <v>12.5</v>
      </c>
      <c r="H249">
        <v>1</v>
      </c>
      <c r="I249" t="s">
        <v>33</v>
      </c>
      <c r="J249">
        <v>0</v>
      </c>
      <c r="K249">
        <v>28.2</v>
      </c>
      <c r="L249">
        <v>4.0999999999999996</v>
      </c>
      <c r="M249" t="s">
        <v>55</v>
      </c>
      <c r="N249" t="s">
        <v>30</v>
      </c>
    </row>
    <row r="250" spans="1:14" x14ac:dyDescent="0.2">
      <c r="A250" t="s">
        <v>289</v>
      </c>
      <c r="B250" t="s">
        <v>28</v>
      </c>
      <c r="C250">
        <v>254.01</v>
      </c>
      <c r="D250">
        <v>6</v>
      </c>
      <c r="E250">
        <v>44.8</v>
      </c>
      <c r="F250">
        <v>52</v>
      </c>
      <c r="G250">
        <v>21</v>
      </c>
      <c r="H250">
        <v>5</v>
      </c>
      <c r="I250" t="s">
        <v>33</v>
      </c>
      <c r="J250">
        <v>0</v>
      </c>
      <c r="K250">
        <v>44.2</v>
      </c>
      <c r="L250">
        <v>18.899999999999999</v>
      </c>
      <c r="M250" t="s">
        <v>39</v>
      </c>
      <c r="N250" t="s">
        <v>30</v>
      </c>
    </row>
    <row r="251" spans="1:14" x14ac:dyDescent="0.2">
      <c r="A251" t="s">
        <v>290</v>
      </c>
      <c r="B251" t="s">
        <v>32</v>
      </c>
      <c r="C251">
        <v>213.94</v>
      </c>
      <c r="D251">
        <v>3</v>
      </c>
      <c r="E251">
        <v>69.98</v>
      </c>
      <c r="F251">
        <v>51</v>
      </c>
      <c r="G251">
        <v>14</v>
      </c>
      <c r="H251">
        <v>5</v>
      </c>
      <c r="I251" t="s">
        <v>33</v>
      </c>
      <c r="J251">
        <v>0</v>
      </c>
      <c r="K251">
        <v>66.3</v>
      </c>
      <c r="L251">
        <v>11.6</v>
      </c>
      <c r="M251" t="s">
        <v>47</v>
      </c>
      <c r="N251" t="s">
        <v>45</v>
      </c>
    </row>
    <row r="252" spans="1:14" x14ac:dyDescent="0.2">
      <c r="A252" t="s">
        <v>291</v>
      </c>
      <c r="B252" t="s">
        <v>23</v>
      </c>
      <c r="C252">
        <v>36.909999999999997</v>
      </c>
      <c r="D252">
        <v>1</v>
      </c>
      <c r="E252">
        <v>36.58</v>
      </c>
      <c r="F252">
        <v>172</v>
      </c>
      <c r="G252">
        <v>3.2</v>
      </c>
      <c r="H252">
        <v>1</v>
      </c>
      <c r="I252" t="s">
        <v>33</v>
      </c>
      <c r="J252">
        <v>0</v>
      </c>
      <c r="K252">
        <v>29.4</v>
      </c>
      <c r="L252">
        <v>6.6</v>
      </c>
      <c r="M252" t="s">
        <v>25</v>
      </c>
      <c r="N252" t="s">
        <v>30</v>
      </c>
    </row>
    <row r="253" spans="1:14" x14ac:dyDescent="0.2">
      <c r="A253" t="s">
        <v>292</v>
      </c>
      <c r="B253" t="s">
        <v>23</v>
      </c>
      <c r="C253">
        <v>158.29</v>
      </c>
      <c r="D253">
        <v>3</v>
      </c>
      <c r="E253">
        <v>51.91</v>
      </c>
      <c r="F253">
        <v>49</v>
      </c>
      <c r="G253">
        <v>18.3</v>
      </c>
      <c r="H253">
        <v>5</v>
      </c>
      <c r="I253" t="s">
        <v>24</v>
      </c>
      <c r="J253">
        <v>9</v>
      </c>
      <c r="K253">
        <v>57</v>
      </c>
      <c r="L253">
        <v>21.4</v>
      </c>
      <c r="M253" t="s">
        <v>47</v>
      </c>
      <c r="N253" t="s">
        <v>45</v>
      </c>
    </row>
    <row r="254" spans="1:14" x14ac:dyDescent="0.2">
      <c r="A254" t="s">
        <v>293</v>
      </c>
      <c r="B254" t="s">
        <v>32</v>
      </c>
      <c r="C254">
        <v>238.2</v>
      </c>
      <c r="D254">
        <v>3</v>
      </c>
      <c r="E254">
        <v>76.38</v>
      </c>
      <c r="F254">
        <v>116</v>
      </c>
      <c r="G254">
        <v>5.4</v>
      </c>
      <c r="H254">
        <v>1</v>
      </c>
      <c r="I254" t="s">
        <v>33</v>
      </c>
      <c r="J254">
        <v>0</v>
      </c>
      <c r="K254">
        <v>27.8</v>
      </c>
      <c r="L254">
        <v>6.9</v>
      </c>
      <c r="M254" t="s">
        <v>25</v>
      </c>
      <c r="N254" t="s">
        <v>30</v>
      </c>
    </row>
    <row r="255" spans="1:14" x14ac:dyDescent="0.2">
      <c r="A255" t="s">
        <v>294</v>
      </c>
      <c r="B255" t="s">
        <v>23</v>
      </c>
      <c r="C255">
        <v>58.08</v>
      </c>
      <c r="D255">
        <v>1</v>
      </c>
      <c r="E255">
        <v>58.41</v>
      </c>
      <c r="F255">
        <v>101</v>
      </c>
      <c r="G255">
        <v>12.1</v>
      </c>
      <c r="H255">
        <v>3</v>
      </c>
      <c r="I255" t="s">
        <v>33</v>
      </c>
      <c r="J255">
        <v>0</v>
      </c>
      <c r="K255">
        <v>20.3</v>
      </c>
      <c r="L255">
        <v>6.6</v>
      </c>
      <c r="M255" t="s">
        <v>53</v>
      </c>
      <c r="N255" t="s">
        <v>30</v>
      </c>
    </row>
    <row r="256" spans="1:14" x14ac:dyDescent="0.2">
      <c r="A256" t="s">
        <v>295</v>
      </c>
      <c r="B256" t="s">
        <v>37</v>
      </c>
      <c r="C256">
        <v>77.94</v>
      </c>
      <c r="D256">
        <v>1</v>
      </c>
      <c r="E256">
        <v>77.94</v>
      </c>
      <c r="F256">
        <v>148</v>
      </c>
      <c r="G256">
        <v>9.1999999999999993</v>
      </c>
      <c r="H256">
        <v>3</v>
      </c>
      <c r="I256" t="s">
        <v>33</v>
      </c>
      <c r="J256">
        <v>0</v>
      </c>
      <c r="K256">
        <v>12</v>
      </c>
      <c r="L256">
        <v>9.9</v>
      </c>
      <c r="M256" t="s">
        <v>25</v>
      </c>
      <c r="N256" t="s">
        <v>45</v>
      </c>
    </row>
    <row r="257" spans="1:14" x14ac:dyDescent="0.2">
      <c r="A257" t="s">
        <v>296</v>
      </c>
      <c r="B257" t="s">
        <v>58</v>
      </c>
      <c r="C257">
        <v>140.47999999999999</v>
      </c>
      <c r="D257">
        <v>4</v>
      </c>
      <c r="E257">
        <v>34.979999999999997</v>
      </c>
      <c r="F257">
        <v>132</v>
      </c>
      <c r="G257">
        <v>32.6</v>
      </c>
      <c r="H257">
        <v>2</v>
      </c>
      <c r="I257" t="s">
        <v>33</v>
      </c>
      <c r="J257">
        <v>0</v>
      </c>
      <c r="K257">
        <v>14</v>
      </c>
      <c r="L257">
        <v>8.1</v>
      </c>
      <c r="M257" t="s">
        <v>25</v>
      </c>
      <c r="N257" t="s">
        <v>43</v>
      </c>
    </row>
    <row r="258" spans="1:14" x14ac:dyDescent="0.2">
      <c r="A258" t="s">
        <v>297</v>
      </c>
      <c r="B258" t="s">
        <v>28</v>
      </c>
      <c r="C258">
        <v>689.27</v>
      </c>
      <c r="D258">
        <v>9</v>
      </c>
      <c r="E258">
        <v>74.98</v>
      </c>
      <c r="F258">
        <v>36</v>
      </c>
      <c r="G258">
        <v>15.8</v>
      </c>
      <c r="H258">
        <v>4</v>
      </c>
      <c r="I258" t="s">
        <v>24</v>
      </c>
      <c r="J258">
        <v>12</v>
      </c>
      <c r="K258">
        <v>63.8</v>
      </c>
      <c r="L258">
        <v>10.3</v>
      </c>
      <c r="M258" t="s">
        <v>25</v>
      </c>
      <c r="N258" t="s">
        <v>26</v>
      </c>
    </row>
    <row r="259" spans="1:14" x14ac:dyDescent="0.2">
      <c r="A259" t="s">
        <v>298</v>
      </c>
      <c r="B259" t="s">
        <v>35</v>
      </c>
      <c r="C259">
        <v>229.99</v>
      </c>
      <c r="D259">
        <v>4</v>
      </c>
      <c r="E259">
        <v>58.41</v>
      </c>
      <c r="F259">
        <v>56</v>
      </c>
      <c r="G259">
        <v>17</v>
      </c>
      <c r="H259">
        <v>5</v>
      </c>
      <c r="I259" t="s">
        <v>24</v>
      </c>
      <c r="J259">
        <v>13</v>
      </c>
      <c r="K259">
        <v>40.4</v>
      </c>
      <c r="L259">
        <v>14.4</v>
      </c>
      <c r="M259" t="s">
        <v>39</v>
      </c>
      <c r="N259" t="s">
        <v>26</v>
      </c>
    </row>
    <row r="260" spans="1:14" x14ac:dyDescent="0.2">
      <c r="A260" t="s">
        <v>299</v>
      </c>
      <c r="B260" t="s">
        <v>58</v>
      </c>
      <c r="C260">
        <v>361.25</v>
      </c>
      <c r="D260">
        <v>6</v>
      </c>
      <c r="E260">
        <v>64.489999999999995</v>
      </c>
      <c r="F260">
        <v>59</v>
      </c>
      <c r="G260">
        <v>16.8</v>
      </c>
      <c r="H260">
        <v>6</v>
      </c>
      <c r="I260" t="s">
        <v>33</v>
      </c>
      <c r="J260">
        <v>0</v>
      </c>
      <c r="K260">
        <v>49.3</v>
      </c>
      <c r="L260">
        <v>16</v>
      </c>
      <c r="M260" t="s">
        <v>39</v>
      </c>
      <c r="N260" t="s">
        <v>45</v>
      </c>
    </row>
    <row r="261" spans="1:14" x14ac:dyDescent="0.2">
      <c r="A261" t="s">
        <v>300</v>
      </c>
      <c r="B261" t="s">
        <v>37</v>
      </c>
      <c r="C261">
        <v>659.54</v>
      </c>
      <c r="D261">
        <v>13</v>
      </c>
      <c r="E261">
        <v>50.48</v>
      </c>
      <c r="F261">
        <v>5</v>
      </c>
      <c r="G261">
        <v>17.3</v>
      </c>
      <c r="H261">
        <v>5</v>
      </c>
      <c r="I261" t="s">
        <v>24</v>
      </c>
      <c r="J261">
        <v>10</v>
      </c>
      <c r="K261">
        <v>48.6</v>
      </c>
      <c r="L261">
        <v>15.8</v>
      </c>
      <c r="M261" t="s">
        <v>25</v>
      </c>
      <c r="N261" t="s">
        <v>30</v>
      </c>
    </row>
    <row r="262" spans="1:14" x14ac:dyDescent="0.2">
      <c r="A262" t="s">
        <v>301</v>
      </c>
      <c r="B262" t="s">
        <v>35</v>
      </c>
      <c r="C262">
        <v>354.82</v>
      </c>
      <c r="D262">
        <v>5</v>
      </c>
      <c r="E262">
        <v>69.489999999999995</v>
      </c>
      <c r="F262">
        <v>13</v>
      </c>
      <c r="G262">
        <v>29.4</v>
      </c>
      <c r="H262">
        <v>3</v>
      </c>
      <c r="I262" t="s">
        <v>24</v>
      </c>
      <c r="J262">
        <v>11</v>
      </c>
      <c r="K262">
        <v>59.4</v>
      </c>
      <c r="L262">
        <v>9</v>
      </c>
      <c r="M262" t="s">
        <v>47</v>
      </c>
      <c r="N262" t="s">
        <v>30</v>
      </c>
    </row>
    <row r="263" spans="1:14" x14ac:dyDescent="0.2">
      <c r="A263" t="s">
        <v>302</v>
      </c>
      <c r="B263" t="s">
        <v>28</v>
      </c>
      <c r="C263">
        <v>538.29</v>
      </c>
      <c r="D263">
        <v>7</v>
      </c>
      <c r="E263">
        <v>74.17</v>
      </c>
      <c r="F263">
        <v>37</v>
      </c>
      <c r="G263">
        <v>5.8</v>
      </c>
      <c r="H263">
        <v>5</v>
      </c>
      <c r="I263" t="s">
        <v>33</v>
      </c>
      <c r="J263">
        <v>0</v>
      </c>
      <c r="K263">
        <v>56</v>
      </c>
      <c r="L263">
        <v>21.4</v>
      </c>
      <c r="M263" t="s">
        <v>39</v>
      </c>
      <c r="N263" t="s">
        <v>43</v>
      </c>
    </row>
    <row r="264" spans="1:14" x14ac:dyDescent="0.2">
      <c r="A264" t="s">
        <v>303</v>
      </c>
      <c r="B264" t="s">
        <v>37</v>
      </c>
      <c r="C264">
        <v>137.69</v>
      </c>
      <c r="D264">
        <v>3</v>
      </c>
      <c r="E264">
        <v>45.6</v>
      </c>
      <c r="F264">
        <v>19</v>
      </c>
      <c r="G264">
        <v>73</v>
      </c>
      <c r="H264">
        <v>2</v>
      </c>
      <c r="I264" t="s">
        <v>24</v>
      </c>
      <c r="J264">
        <v>7</v>
      </c>
      <c r="K264">
        <v>63.5</v>
      </c>
      <c r="L264">
        <v>7.4</v>
      </c>
      <c r="M264" t="s">
        <v>39</v>
      </c>
      <c r="N264" t="s">
        <v>26</v>
      </c>
    </row>
    <row r="265" spans="1:14" x14ac:dyDescent="0.2">
      <c r="A265" t="s">
        <v>304</v>
      </c>
      <c r="B265" t="s">
        <v>58</v>
      </c>
      <c r="C265">
        <v>127.2</v>
      </c>
      <c r="D265">
        <v>3</v>
      </c>
      <c r="E265">
        <v>44.15</v>
      </c>
      <c r="F265">
        <v>151</v>
      </c>
      <c r="G265">
        <v>6.5</v>
      </c>
      <c r="H265">
        <v>3</v>
      </c>
      <c r="I265" t="s">
        <v>24</v>
      </c>
      <c r="J265">
        <v>3</v>
      </c>
      <c r="K265">
        <v>37.799999999999997</v>
      </c>
      <c r="L265">
        <v>4.9000000000000004</v>
      </c>
      <c r="M265" t="s">
        <v>39</v>
      </c>
      <c r="N265" t="s">
        <v>26</v>
      </c>
    </row>
    <row r="266" spans="1:14" x14ac:dyDescent="0.2">
      <c r="A266" t="s">
        <v>305</v>
      </c>
      <c r="B266" t="s">
        <v>32</v>
      </c>
      <c r="C266">
        <v>513.48</v>
      </c>
      <c r="D266">
        <v>9</v>
      </c>
      <c r="E266">
        <v>56.54</v>
      </c>
      <c r="F266">
        <v>30</v>
      </c>
      <c r="G266">
        <v>21.5</v>
      </c>
      <c r="H266">
        <v>5</v>
      </c>
      <c r="I266" t="s">
        <v>24</v>
      </c>
      <c r="J266">
        <v>6</v>
      </c>
      <c r="K266">
        <v>63.2</v>
      </c>
      <c r="L266">
        <v>11.4</v>
      </c>
      <c r="M266" t="s">
        <v>39</v>
      </c>
      <c r="N266" t="s">
        <v>43</v>
      </c>
    </row>
    <row r="267" spans="1:14" x14ac:dyDescent="0.2">
      <c r="A267" t="s">
        <v>306</v>
      </c>
      <c r="B267" t="s">
        <v>32</v>
      </c>
      <c r="C267">
        <v>358.19</v>
      </c>
      <c r="D267">
        <v>6</v>
      </c>
      <c r="E267">
        <v>55.82</v>
      </c>
      <c r="F267">
        <v>57</v>
      </c>
      <c r="G267">
        <v>15.7</v>
      </c>
      <c r="H267">
        <v>4</v>
      </c>
      <c r="I267" t="s">
        <v>33</v>
      </c>
      <c r="J267">
        <v>0</v>
      </c>
      <c r="K267">
        <v>64.3</v>
      </c>
      <c r="L267">
        <v>1.7</v>
      </c>
      <c r="M267" t="s">
        <v>39</v>
      </c>
      <c r="N267" t="s">
        <v>30</v>
      </c>
    </row>
    <row r="268" spans="1:14" x14ac:dyDescent="0.2">
      <c r="A268" t="s">
        <v>307</v>
      </c>
      <c r="B268" t="s">
        <v>35</v>
      </c>
      <c r="C268">
        <v>109.35</v>
      </c>
      <c r="D268">
        <v>2</v>
      </c>
      <c r="E268">
        <v>53.33</v>
      </c>
      <c r="F268">
        <v>42</v>
      </c>
      <c r="G268">
        <v>22.6</v>
      </c>
      <c r="H268">
        <v>5</v>
      </c>
      <c r="I268" t="s">
        <v>24</v>
      </c>
      <c r="J268">
        <v>7</v>
      </c>
      <c r="K268">
        <v>43.1</v>
      </c>
      <c r="L268">
        <v>6.7</v>
      </c>
      <c r="M268" t="s">
        <v>25</v>
      </c>
      <c r="N268" t="s">
        <v>43</v>
      </c>
    </row>
    <row r="269" spans="1:14" x14ac:dyDescent="0.2">
      <c r="A269" t="s">
        <v>308</v>
      </c>
      <c r="B269" t="s">
        <v>35</v>
      </c>
      <c r="C269">
        <v>182.84</v>
      </c>
      <c r="D269">
        <v>6</v>
      </c>
      <c r="E269">
        <v>32.770000000000003</v>
      </c>
      <c r="F269">
        <v>4</v>
      </c>
      <c r="G269">
        <v>27.8</v>
      </c>
      <c r="H269">
        <v>1</v>
      </c>
      <c r="I269" t="s">
        <v>33</v>
      </c>
      <c r="J269">
        <v>0</v>
      </c>
      <c r="K269">
        <v>57.9</v>
      </c>
      <c r="L269">
        <v>6.9</v>
      </c>
      <c r="M269" t="s">
        <v>25</v>
      </c>
      <c r="N269" t="s">
        <v>43</v>
      </c>
    </row>
    <row r="270" spans="1:14" x14ac:dyDescent="0.2">
      <c r="A270" t="s">
        <v>309</v>
      </c>
      <c r="B270" t="s">
        <v>23</v>
      </c>
      <c r="C270">
        <v>576.33000000000004</v>
      </c>
      <c r="D270">
        <v>8</v>
      </c>
      <c r="E270">
        <v>73.31</v>
      </c>
      <c r="F270">
        <v>9</v>
      </c>
      <c r="G270">
        <v>11.5</v>
      </c>
      <c r="H270">
        <v>5</v>
      </c>
      <c r="I270" t="s">
        <v>24</v>
      </c>
      <c r="J270">
        <v>19</v>
      </c>
      <c r="K270">
        <v>46</v>
      </c>
      <c r="L270">
        <v>14.2</v>
      </c>
      <c r="M270" t="s">
        <v>53</v>
      </c>
      <c r="N270" t="s">
        <v>40</v>
      </c>
    </row>
    <row r="271" spans="1:14" x14ac:dyDescent="0.2">
      <c r="A271" t="s">
        <v>310</v>
      </c>
      <c r="B271" t="s">
        <v>23</v>
      </c>
      <c r="C271">
        <v>236.17</v>
      </c>
      <c r="D271">
        <v>7</v>
      </c>
      <c r="E271">
        <v>36.17</v>
      </c>
      <c r="F271">
        <v>63</v>
      </c>
      <c r="G271">
        <v>74</v>
      </c>
      <c r="H271">
        <v>3</v>
      </c>
      <c r="I271" t="s">
        <v>33</v>
      </c>
      <c r="J271">
        <v>0</v>
      </c>
      <c r="K271">
        <v>48.3</v>
      </c>
      <c r="L271">
        <v>10.7</v>
      </c>
      <c r="M271" t="s">
        <v>55</v>
      </c>
      <c r="N271" t="s">
        <v>43</v>
      </c>
    </row>
    <row r="272" spans="1:14" x14ac:dyDescent="0.2">
      <c r="A272" t="s">
        <v>311</v>
      </c>
      <c r="B272" t="s">
        <v>32</v>
      </c>
      <c r="C272">
        <v>265.36</v>
      </c>
      <c r="D272">
        <v>4</v>
      </c>
      <c r="E272">
        <v>65.34</v>
      </c>
      <c r="F272">
        <v>69</v>
      </c>
      <c r="G272">
        <v>23.4</v>
      </c>
      <c r="H272">
        <v>1</v>
      </c>
      <c r="I272" t="s">
        <v>33</v>
      </c>
      <c r="J272">
        <v>0</v>
      </c>
      <c r="K272">
        <v>20.2</v>
      </c>
      <c r="L272">
        <v>1.6</v>
      </c>
      <c r="M272" t="s">
        <v>29</v>
      </c>
      <c r="N272" t="s">
        <v>30</v>
      </c>
    </row>
    <row r="273" spans="1:14" x14ac:dyDescent="0.2">
      <c r="A273" t="s">
        <v>312</v>
      </c>
      <c r="B273" t="s">
        <v>32</v>
      </c>
      <c r="C273">
        <v>396.9</v>
      </c>
      <c r="D273">
        <v>6</v>
      </c>
      <c r="E273">
        <v>71.400000000000006</v>
      </c>
      <c r="F273">
        <v>27</v>
      </c>
      <c r="G273">
        <v>48.7</v>
      </c>
      <c r="H273">
        <v>5</v>
      </c>
      <c r="I273" t="s">
        <v>24</v>
      </c>
      <c r="J273">
        <v>9</v>
      </c>
      <c r="K273">
        <v>53.6</v>
      </c>
      <c r="L273">
        <v>8.9</v>
      </c>
      <c r="M273" t="s">
        <v>29</v>
      </c>
      <c r="N273" t="s">
        <v>45</v>
      </c>
    </row>
    <row r="274" spans="1:14" x14ac:dyDescent="0.2">
      <c r="A274" t="s">
        <v>313</v>
      </c>
      <c r="B274" t="s">
        <v>32</v>
      </c>
      <c r="C274">
        <v>69.489999999999995</v>
      </c>
      <c r="D274">
        <v>3</v>
      </c>
      <c r="E274">
        <v>24.61</v>
      </c>
      <c r="F274">
        <v>145</v>
      </c>
      <c r="G274">
        <v>28.8</v>
      </c>
      <c r="H274">
        <v>1</v>
      </c>
      <c r="I274" t="s">
        <v>33</v>
      </c>
      <c r="J274">
        <v>0</v>
      </c>
      <c r="K274">
        <v>38.4</v>
      </c>
      <c r="L274">
        <v>3.2</v>
      </c>
      <c r="M274" t="s">
        <v>47</v>
      </c>
      <c r="N274" t="s">
        <v>43</v>
      </c>
    </row>
    <row r="275" spans="1:14" x14ac:dyDescent="0.2">
      <c r="A275" t="s">
        <v>314</v>
      </c>
      <c r="B275" t="s">
        <v>28</v>
      </c>
      <c r="C275">
        <v>767.46</v>
      </c>
      <c r="D275">
        <v>9</v>
      </c>
      <c r="E275">
        <v>91.92</v>
      </c>
      <c r="F275">
        <v>17</v>
      </c>
      <c r="G275">
        <v>7</v>
      </c>
      <c r="H275">
        <v>3</v>
      </c>
      <c r="I275" t="s">
        <v>24</v>
      </c>
      <c r="J275">
        <v>11</v>
      </c>
      <c r="K275">
        <v>65.7</v>
      </c>
      <c r="L275">
        <v>14.5</v>
      </c>
      <c r="M275" t="s">
        <v>39</v>
      </c>
      <c r="N275" t="s">
        <v>30</v>
      </c>
    </row>
    <row r="276" spans="1:14" x14ac:dyDescent="0.2">
      <c r="A276" t="s">
        <v>315</v>
      </c>
      <c r="B276" t="s">
        <v>58</v>
      </c>
      <c r="C276">
        <v>61.37</v>
      </c>
      <c r="D276">
        <v>1</v>
      </c>
      <c r="E276">
        <v>60.11</v>
      </c>
      <c r="F276">
        <v>60</v>
      </c>
      <c r="G276">
        <v>26.2</v>
      </c>
      <c r="H276">
        <v>3</v>
      </c>
      <c r="I276" t="s">
        <v>33</v>
      </c>
      <c r="J276">
        <v>0</v>
      </c>
      <c r="K276">
        <v>32.200000000000003</v>
      </c>
      <c r="L276">
        <v>5.6</v>
      </c>
      <c r="M276" t="s">
        <v>25</v>
      </c>
      <c r="N276" t="s">
        <v>45</v>
      </c>
    </row>
    <row r="277" spans="1:14" x14ac:dyDescent="0.2">
      <c r="A277" t="s">
        <v>316</v>
      </c>
      <c r="B277" t="s">
        <v>58</v>
      </c>
      <c r="C277">
        <v>300.64999999999998</v>
      </c>
      <c r="D277">
        <v>6</v>
      </c>
      <c r="E277">
        <v>52.77</v>
      </c>
      <c r="F277">
        <v>38</v>
      </c>
      <c r="G277">
        <v>54.3</v>
      </c>
      <c r="H277">
        <v>5</v>
      </c>
      <c r="I277" t="s">
        <v>24</v>
      </c>
      <c r="J277">
        <v>8</v>
      </c>
      <c r="K277">
        <v>49</v>
      </c>
      <c r="L277">
        <v>17.7</v>
      </c>
      <c r="M277" t="s">
        <v>25</v>
      </c>
      <c r="N277" t="s">
        <v>40</v>
      </c>
    </row>
    <row r="278" spans="1:14" x14ac:dyDescent="0.2">
      <c r="A278" t="s">
        <v>317</v>
      </c>
      <c r="B278" t="s">
        <v>32</v>
      </c>
      <c r="C278">
        <v>249.12</v>
      </c>
      <c r="D278">
        <v>5</v>
      </c>
      <c r="E278">
        <v>52.47</v>
      </c>
      <c r="F278">
        <v>63</v>
      </c>
      <c r="G278">
        <v>27.4</v>
      </c>
      <c r="H278">
        <v>5</v>
      </c>
      <c r="I278" t="s">
        <v>24</v>
      </c>
      <c r="J278">
        <v>4</v>
      </c>
      <c r="K278">
        <v>35.799999999999997</v>
      </c>
      <c r="L278">
        <v>11.9</v>
      </c>
      <c r="M278" t="s">
        <v>47</v>
      </c>
      <c r="N278" t="s">
        <v>26</v>
      </c>
    </row>
    <row r="279" spans="1:14" x14ac:dyDescent="0.2">
      <c r="A279" t="s">
        <v>318</v>
      </c>
      <c r="B279" t="s">
        <v>35</v>
      </c>
      <c r="C279">
        <v>416.52</v>
      </c>
      <c r="D279">
        <v>7</v>
      </c>
      <c r="E279">
        <v>59.45</v>
      </c>
      <c r="F279">
        <v>17</v>
      </c>
      <c r="G279">
        <v>11.2</v>
      </c>
      <c r="H279">
        <v>1</v>
      </c>
      <c r="I279" t="s">
        <v>24</v>
      </c>
      <c r="J279">
        <v>20</v>
      </c>
      <c r="K279">
        <v>53.6</v>
      </c>
      <c r="L279">
        <v>16.899999999999999</v>
      </c>
      <c r="M279" t="s">
        <v>47</v>
      </c>
      <c r="N279" t="s">
        <v>40</v>
      </c>
    </row>
    <row r="280" spans="1:14" x14ac:dyDescent="0.2">
      <c r="A280" t="s">
        <v>319</v>
      </c>
      <c r="B280" t="s">
        <v>35</v>
      </c>
      <c r="C280">
        <v>559.97</v>
      </c>
      <c r="D280">
        <v>8</v>
      </c>
      <c r="E280">
        <v>75.08</v>
      </c>
      <c r="F280">
        <v>53</v>
      </c>
      <c r="G280">
        <v>27.6</v>
      </c>
      <c r="H280">
        <v>5</v>
      </c>
      <c r="I280" t="s">
        <v>33</v>
      </c>
      <c r="J280">
        <v>0</v>
      </c>
      <c r="K280">
        <v>34.6</v>
      </c>
      <c r="L280">
        <v>10.6</v>
      </c>
      <c r="M280" t="s">
        <v>25</v>
      </c>
      <c r="N280" t="s">
        <v>43</v>
      </c>
    </row>
    <row r="281" spans="1:14" x14ac:dyDescent="0.2">
      <c r="A281" t="s">
        <v>320</v>
      </c>
      <c r="B281" t="s">
        <v>32</v>
      </c>
      <c r="C281">
        <v>152.46</v>
      </c>
      <c r="D281">
        <v>3</v>
      </c>
      <c r="E281">
        <v>53.9</v>
      </c>
      <c r="F281">
        <v>142</v>
      </c>
      <c r="G281">
        <v>21.2</v>
      </c>
      <c r="H281">
        <v>1</v>
      </c>
      <c r="I281" t="s">
        <v>33</v>
      </c>
      <c r="J281">
        <v>0</v>
      </c>
      <c r="K281">
        <v>24.6</v>
      </c>
      <c r="L281">
        <v>5.4</v>
      </c>
      <c r="M281" t="s">
        <v>29</v>
      </c>
      <c r="N281" t="s">
        <v>43</v>
      </c>
    </row>
    <row r="282" spans="1:14" x14ac:dyDescent="0.2">
      <c r="A282" t="s">
        <v>321</v>
      </c>
      <c r="B282" t="s">
        <v>32</v>
      </c>
      <c r="C282">
        <v>242.87</v>
      </c>
      <c r="D282">
        <v>6</v>
      </c>
      <c r="E282">
        <v>39.049999999999997</v>
      </c>
      <c r="F282">
        <v>59</v>
      </c>
      <c r="G282">
        <v>37.5</v>
      </c>
      <c r="H282">
        <v>4</v>
      </c>
      <c r="I282" t="s">
        <v>24</v>
      </c>
      <c r="J282">
        <v>1</v>
      </c>
      <c r="K282">
        <v>49.1</v>
      </c>
      <c r="L282">
        <v>15.5</v>
      </c>
      <c r="M282" t="s">
        <v>29</v>
      </c>
      <c r="N282" t="s">
        <v>43</v>
      </c>
    </row>
    <row r="283" spans="1:14" x14ac:dyDescent="0.2">
      <c r="A283" t="s">
        <v>322</v>
      </c>
      <c r="B283" t="s">
        <v>23</v>
      </c>
      <c r="C283">
        <v>124.78</v>
      </c>
      <c r="D283">
        <v>4</v>
      </c>
      <c r="E283">
        <v>29.22</v>
      </c>
      <c r="F283">
        <v>35</v>
      </c>
      <c r="G283">
        <v>44.1</v>
      </c>
      <c r="H283">
        <v>3</v>
      </c>
      <c r="I283" t="s">
        <v>33</v>
      </c>
      <c r="J283">
        <v>0</v>
      </c>
      <c r="K283">
        <v>32.6</v>
      </c>
      <c r="L283">
        <v>4.4000000000000004</v>
      </c>
      <c r="M283" t="s">
        <v>47</v>
      </c>
      <c r="N283" t="s">
        <v>40</v>
      </c>
    </row>
    <row r="284" spans="1:14" x14ac:dyDescent="0.2">
      <c r="A284" t="s">
        <v>323</v>
      </c>
      <c r="B284" t="s">
        <v>23</v>
      </c>
      <c r="C284">
        <v>277.98</v>
      </c>
      <c r="D284">
        <v>5</v>
      </c>
      <c r="E284">
        <v>52.8</v>
      </c>
      <c r="F284">
        <v>193</v>
      </c>
      <c r="G284">
        <v>18.399999999999999</v>
      </c>
      <c r="H284">
        <v>1</v>
      </c>
      <c r="I284" t="s">
        <v>33</v>
      </c>
      <c r="J284">
        <v>0</v>
      </c>
      <c r="K284">
        <v>26</v>
      </c>
      <c r="L284">
        <v>4</v>
      </c>
      <c r="M284" t="s">
        <v>25</v>
      </c>
      <c r="N284" t="s">
        <v>43</v>
      </c>
    </row>
    <row r="285" spans="1:14" x14ac:dyDescent="0.2">
      <c r="A285" t="s">
        <v>324</v>
      </c>
      <c r="B285" t="s">
        <v>37</v>
      </c>
      <c r="C285">
        <v>138.66</v>
      </c>
      <c r="D285">
        <v>3</v>
      </c>
      <c r="E285">
        <v>45.65</v>
      </c>
      <c r="F285">
        <v>33</v>
      </c>
      <c r="G285">
        <v>29.2</v>
      </c>
      <c r="H285">
        <v>5</v>
      </c>
      <c r="I285" t="s">
        <v>24</v>
      </c>
      <c r="J285">
        <v>6</v>
      </c>
      <c r="K285">
        <v>42.5</v>
      </c>
      <c r="L285">
        <v>21</v>
      </c>
      <c r="M285" t="s">
        <v>25</v>
      </c>
      <c r="N285" t="s">
        <v>43</v>
      </c>
    </row>
    <row r="286" spans="1:14" x14ac:dyDescent="0.2">
      <c r="A286" t="s">
        <v>325</v>
      </c>
      <c r="B286" t="s">
        <v>58</v>
      </c>
      <c r="C286">
        <v>578.20000000000005</v>
      </c>
      <c r="D286">
        <v>8</v>
      </c>
      <c r="E286">
        <v>76.75</v>
      </c>
      <c r="F286">
        <v>29</v>
      </c>
      <c r="G286">
        <v>7.2</v>
      </c>
      <c r="H286">
        <v>5</v>
      </c>
      <c r="I286" t="s">
        <v>24</v>
      </c>
      <c r="J286">
        <v>3</v>
      </c>
      <c r="K286">
        <v>57.9</v>
      </c>
      <c r="L286">
        <v>16</v>
      </c>
      <c r="M286" t="s">
        <v>47</v>
      </c>
      <c r="N286" t="s">
        <v>30</v>
      </c>
    </row>
    <row r="287" spans="1:14" x14ac:dyDescent="0.2">
      <c r="A287" t="s">
        <v>326</v>
      </c>
      <c r="B287" t="s">
        <v>37</v>
      </c>
      <c r="C287">
        <v>220.62</v>
      </c>
      <c r="D287">
        <v>3</v>
      </c>
      <c r="E287">
        <v>72.66</v>
      </c>
      <c r="F287">
        <v>13</v>
      </c>
      <c r="G287">
        <v>20.2</v>
      </c>
      <c r="H287">
        <v>4</v>
      </c>
      <c r="I287" t="s">
        <v>24</v>
      </c>
      <c r="J287">
        <v>14</v>
      </c>
      <c r="K287">
        <v>59.4</v>
      </c>
      <c r="L287">
        <v>4.3</v>
      </c>
      <c r="M287" t="s">
        <v>25</v>
      </c>
      <c r="N287" t="s">
        <v>43</v>
      </c>
    </row>
    <row r="288" spans="1:14" x14ac:dyDescent="0.2">
      <c r="A288" t="s">
        <v>327</v>
      </c>
      <c r="B288" t="s">
        <v>58</v>
      </c>
      <c r="C288">
        <v>81.08</v>
      </c>
      <c r="D288">
        <v>2</v>
      </c>
      <c r="E288">
        <v>40.130000000000003</v>
      </c>
      <c r="F288">
        <v>211</v>
      </c>
      <c r="G288">
        <v>43</v>
      </c>
      <c r="H288">
        <v>2</v>
      </c>
      <c r="I288" t="s">
        <v>24</v>
      </c>
      <c r="J288">
        <v>1</v>
      </c>
      <c r="K288">
        <v>31.6</v>
      </c>
      <c r="L288">
        <v>3.1</v>
      </c>
      <c r="M288" t="s">
        <v>47</v>
      </c>
      <c r="N288" t="s">
        <v>26</v>
      </c>
    </row>
    <row r="289" spans="1:14" x14ac:dyDescent="0.2">
      <c r="A289" t="s">
        <v>328</v>
      </c>
      <c r="B289" t="s">
        <v>58</v>
      </c>
      <c r="C289">
        <v>543.9</v>
      </c>
      <c r="D289">
        <v>9</v>
      </c>
      <c r="E289">
        <v>61.23</v>
      </c>
      <c r="F289">
        <v>27</v>
      </c>
      <c r="G289">
        <v>20.3</v>
      </c>
      <c r="H289">
        <v>4</v>
      </c>
      <c r="I289" t="s">
        <v>24</v>
      </c>
      <c r="J289">
        <v>17</v>
      </c>
      <c r="K289">
        <v>51.2</v>
      </c>
      <c r="L289">
        <v>12.9</v>
      </c>
      <c r="M289" t="s">
        <v>29</v>
      </c>
      <c r="N289" t="s">
        <v>26</v>
      </c>
    </row>
    <row r="290" spans="1:14" x14ac:dyDescent="0.2">
      <c r="A290" t="s">
        <v>329</v>
      </c>
      <c r="B290" t="s">
        <v>23</v>
      </c>
      <c r="C290">
        <v>380.05</v>
      </c>
      <c r="D290">
        <v>6</v>
      </c>
      <c r="E290">
        <v>62.09</v>
      </c>
      <c r="F290">
        <v>39</v>
      </c>
      <c r="G290">
        <v>25.9</v>
      </c>
      <c r="H290">
        <v>3</v>
      </c>
      <c r="I290" t="s">
        <v>24</v>
      </c>
      <c r="J290">
        <v>6</v>
      </c>
      <c r="K290">
        <v>29.1</v>
      </c>
      <c r="L290">
        <v>9.8000000000000007</v>
      </c>
      <c r="M290" t="s">
        <v>25</v>
      </c>
      <c r="N290" t="s">
        <v>26</v>
      </c>
    </row>
    <row r="291" spans="1:14" x14ac:dyDescent="0.2">
      <c r="A291" t="s">
        <v>330</v>
      </c>
      <c r="B291" t="s">
        <v>35</v>
      </c>
      <c r="C291">
        <v>68.55</v>
      </c>
      <c r="D291">
        <v>1</v>
      </c>
      <c r="E291">
        <v>69.34</v>
      </c>
      <c r="F291">
        <v>142</v>
      </c>
      <c r="G291">
        <v>31.6</v>
      </c>
      <c r="H291">
        <v>2</v>
      </c>
      <c r="I291" t="s">
        <v>33</v>
      </c>
      <c r="J291">
        <v>0</v>
      </c>
      <c r="K291">
        <v>30.6</v>
      </c>
      <c r="L291">
        <v>8.8000000000000007</v>
      </c>
      <c r="M291" t="s">
        <v>29</v>
      </c>
      <c r="N291" t="s">
        <v>26</v>
      </c>
    </row>
    <row r="292" spans="1:14" x14ac:dyDescent="0.2">
      <c r="A292" t="s">
        <v>331</v>
      </c>
      <c r="B292" t="s">
        <v>37</v>
      </c>
      <c r="C292">
        <v>610.13</v>
      </c>
      <c r="D292">
        <v>8</v>
      </c>
      <c r="E292">
        <v>75.209999999999994</v>
      </c>
      <c r="F292">
        <v>8</v>
      </c>
      <c r="G292">
        <v>13.2</v>
      </c>
      <c r="H292">
        <v>4</v>
      </c>
      <c r="I292" t="s">
        <v>24</v>
      </c>
      <c r="J292">
        <v>9</v>
      </c>
      <c r="K292">
        <v>47</v>
      </c>
      <c r="L292">
        <v>18.600000000000001</v>
      </c>
      <c r="M292" t="s">
        <v>47</v>
      </c>
      <c r="N292" t="s">
        <v>26</v>
      </c>
    </row>
    <row r="293" spans="1:14" x14ac:dyDescent="0.2">
      <c r="A293" t="s">
        <v>332</v>
      </c>
      <c r="B293" t="s">
        <v>37</v>
      </c>
      <c r="C293">
        <v>81.94</v>
      </c>
      <c r="D293">
        <v>1</v>
      </c>
      <c r="E293">
        <v>78.040000000000006</v>
      </c>
      <c r="F293">
        <v>143</v>
      </c>
      <c r="G293">
        <v>9.8000000000000007</v>
      </c>
      <c r="H293">
        <v>1</v>
      </c>
      <c r="I293" t="s">
        <v>33</v>
      </c>
      <c r="J293">
        <v>0</v>
      </c>
      <c r="K293">
        <v>16.2</v>
      </c>
      <c r="L293">
        <v>0.3</v>
      </c>
      <c r="M293" t="s">
        <v>53</v>
      </c>
      <c r="N293" t="s">
        <v>30</v>
      </c>
    </row>
    <row r="294" spans="1:14" x14ac:dyDescent="0.2">
      <c r="A294" t="s">
        <v>333</v>
      </c>
      <c r="B294" t="s">
        <v>32</v>
      </c>
      <c r="C294">
        <v>347.64</v>
      </c>
      <c r="D294">
        <v>8</v>
      </c>
      <c r="E294">
        <v>46.83</v>
      </c>
      <c r="F294">
        <v>10</v>
      </c>
      <c r="G294">
        <v>75.599999999999994</v>
      </c>
      <c r="H294">
        <v>4</v>
      </c>
      <c r="I294" t="s">
        <v>33</v>
      </c>
      <c r="J294">
        <v>0</v>
      </c>
      <c r="K294">
        <v>49.5</v>
      </c>
      <c r="L294">
        <v>12.6</v>
      </c>
      <c r="M294" t="s">
        <v>53</v>
      </c>
      <c r="N294" t="s">
        <v>43</v>
      </c>
    </row>
    <row r="295" spans="1:14" x14ac:dyDescent="0.2">
      <c r="A295" t="s">
        <v>334</v>
      </c>
      <c r="B295" t="s">
        <v>23</v>
      </c>
      <c r="C295">
        <v>121.37</v>
      </c>
      <c r="D295">
        <v>2</v>
      </c>
      <c r="E295">
        <v>59.03</v>
      </c>
      <c r="F295">
        <v>102</v>
      </c>
      <c r="G295">
        <v>19.7</v>
      </c>
      <c r="H295">
        <v>1</v>
      </c>
      <c r="I295" t="s">
        <v>33</v>
      </c>
      <c r="J295">
        <v>0</v>
      </c>
      <c r="K295">
        <v>22</v>
      </c>
      <c r="L295">
        <v>8.5</v>
      </c>
      <c r="M295" t="s">
        <v>29</v>
      </c>
      <c r="N295" t="s">
        <v>43</v>
      </c>
    </row>
    <row r="296" spans="1:14" x14ac:dyDescent="0.2">
      <c r="A296" t="s">
        <v>335</v>
      </c>
      <c r="B296" t="s">
        <v>37</v>
      </c>
      <c r="C296">
        <v>558.66999999999996</v>
      </c>
      <c r="D296">
        <v>9</v>
      </c>
      <c r="E296">
        <v>64.09</v>
      </c>
      <c r="F296">
        <v>36</v>
      </c>
      <c r="G296">
        <v>7.3</v>
      </c>
      <c r="H296">
        <v>2</v>
      </c>
      <c r="I296" t="s">
        <v>33</v>
      </c>
      <c r="J296">
        <v>0</v>
      </c>
      <c r="K296">
        <v>51</v>
      </c>
      <c r="L296">
        <v>18.8</v>
      </c>
      <c r="M296" t="s">
        <v>47</v>
      </c>
      <c r="N296" t="s">
        <v>45</v>
      </c>
    </row>
    <row r="297" spans="1:14" x14ac:dyDescent="0.2">
      <c r="A297" t="s">
        <v>336</v>
      </c>
      <c r="B297" t="s">
        <v>58</v>
      </c>
      <c r="C297">
        <v>306.11</v>
      </c>
      <c r="D297">
        <v>5</v>
      </c>
      <c r="E297">
        <v>64.239999999999995</v>
      </c>
      <c r="F297">
        <v>17</v>
      </c>
      <c r="G297">
        <v>33.299999999999997</v>
      </c>
      <c r="H297">
        <v>4</v>
      </c>
      <c r="I297" t="s">
        <v>33</v>
      </c>
      <c r="J297">
        <v>0</v>
      </c>
      <c r="K297">
        <v>53.3</v>
      </c>
      <c r="L297">
        <v>21.1</v>
      </c>
      <c r="M297" t="s">
        <v>25</v>
      </c>
      <c r="N297" t="s">
        <v>43</v>
      </c>
    </row>
    <row r="298" spans="1:14" x14ac:dyDescent="0.2">
      <c r="A298" t="s">
        <v>337</v>
      </c>
      <c r="B298" t="s">
        <v>32</v>
      </c>
      <c r="C298">
        <v>122.14</v>
      </c>
      <c r="D298">
        <v>2</v>
      </c>
      <c r="E298">
        <v>58.42</v>
      </c>
      <c r="F298">
        <v>17</v>
      </c>
      <c r="G298">
        <v>45</v>
      </c>
      <c r="H298">
        <v>4</v>
      </c>
      <c r="I298" t="s">
        <v>24</v>
      </c>
      <c r="J298">
        <v>10</v>
      </c>
      <c r="K298">
        <v>39.700000000000003</v>
      </c>
      <c r="L298">
        <v>9.8000000000000007</v>
      </c>
      <c r="M298" t="s">
        <v>29</v>
      </c>
      <c r="N298" t="s">
        <v>30</v>
      </c>
    </row>
    <row r="299" spans="1:14" x14ac:dyDescent="0.2">
      <c r="A299" t="s">
        <v>338</v>
      </c>
      <c r="B299" t="s">
        <v>37</v>
      </c>
      <c r="C299">
        <v>240.67</v>
      </c>
      <c r="D299">
        <v>4</v>
      </c>
      <c r="E299">
        <v>64.7</v>
      </c>
      <c r="F299">
        <v>39</v>
      </c>
      <c r="G299">
        <v>30.2</v>
      </c>
      <c r="H299">
        <v>4</v>
      </c>
      <c r="I299" t="s">
        <v>33</v>
      </c>
      <c r="J299">
        <v>0</v>
      </c>
      <c r="K299">
        <v>51.7</v>
      </c>
      <c r="L299">
        <v>5.5</v>
      </c>
      <c r="M299" t="s">
        <v>53</v>
      </c>
      <c r="N299" t="s">
        <v>43</v>
      </c>
    </row>
    <row r="300" spans="1:14" x14ac:dyDescent="0.2">
      <c r="A300" t="s">
        <v>339</v>
      </c>
      <c r="B300" t="s">
        <v>35</v>
      </c>
      <c r="C300">
        <v>45.6</v>
      </c>
      <c r="D300">
        <v>1</v>
      </c>
      <c r="E300">
        <v>43.12</v>
      </c>
      <c r="F300">
        <v>103</v>
      </c>
      <c r="G300">
        <v>21.6</v>
      </c>
      <c r="H300">
        <v>1</v>
      </c>
      <c r="I300" t="s">
        <v>33</v>
      </c>
      <c r="J300">
        <v>0</v>
      </c>
      <c r="K300">
        <v>19</v>
      </c>
      <c r="L300">
        <v>7.2</v>
      </c>
      <c r="M300" t="s">
        <v>25</v>
      </c>
      <c r="N300" t="s">
        <v>43</v>
      </c>
    </row>
    <row r="301" spans="1:14" x14ac:dyDescent="0.2">
      <c r="A301" t="s">
        <v>340</v>
      </c>
      <c r="B301" t="s">
        <v>37</v>
      </c>
      <c r="C301">
        <v>621.11</v>
      </c>
      <c r="D301">
        <v>8</v>
      </c>
      <c r="E301">
        <v>77.510000000000005</v>
      </c>
      <c r="F301">
        <v>14</v>
      </c>
      <c r="G301">
        <v>14.7</v>
      </c>
      <c r="H301">
        <v>4</v>
      </c>
      <c r="I301" t="s">
        <v>24</v>
      </c>
      <c r="J301">
        <v>13</v>
      </c>
      <c r="K301">
        <v>82.6</v>
      </c>
      <c r="L301">
        <v>16</v>
      </c>
      <c r="M301" t="s">
        <v>25</v>
      </c>
      <c r="N301" t="s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D362-5334-4247-A517-0F5BBBE604AF}">
  <dimension ref="A1:T301"/>
  <sheetViews>
    <sheetView topLeftCell="I1" zoomScale="110" workbookViewId="0">
      <selection activeCell="T8" sqref="T8"/>
    </sheetView>
  </sheetViews>
  <sheetFormatPr baseColWidth="10" defaultColWidth="8.83203125" defaultRowHeight="15" x14ac:dyDescent="0.2"/>
  <cols>
    <col min="1" max="1" width="14" bestFit="1" customWidth="1"/>
    <col min="2" max="2" width="21.6640625" bestFit="1" customWidth="1"/>
    <col min="3" max="3" width="24.6640625" style="28" bestFit="1" customWidth="1"/>
    <col min="4" max="4" width="26" bestFit="1" customWidth="1"/>
    <col min="5" max="5" width="28.33203125" style="28" bestFit="1" customWidth="1"/>
    <col min="6" max="6" width="28.1640625" bestFit="1" customWidth="1"/>
    <col min="7" max="7" width="27.5" bestFit="1" customWidth="1"/>
    <col min="8" max="8" width="28.6640625" bestFit="1" customWidth="1"/>
    <col min="9" max="9" width="21.5" bestFit="1" customWidth="1"/>
    <col min="10" max="10" width="31.33203125" bestFit="1" customWidth="1"/>
    <col min="11" max="11" width="23" bestFit="1" customWidth="1"/>
    <col min="12" max="12" width="22" bestFit="1" customWidth="1"/>
    <col min="13" max="13" width="9" bestFit="1" customWidth="1"/>
    <col min="14" max="14" width="11.1640625" bestFit="1" customWidth="1"/>
    <col min="18" max="18" width="11" style="25" customWidth="1"/>
    <col min="19" max="19" width="14.6640625" customWidth="1"/>
    <col min="20" max="20" width="19.1640625" bestFit="1" customWidth="1"/>
  </cols>
  <sheetData>
    <row r="1" spans="1:20" s="20" customFormat="1" ht="19" x14ac:dyDescent="0.25">
      <c r="A1" s="19" t="s">
        <v>8</v>
      </c>
      <c r="B1" s="19" t="s">
        <v>9</v>
      </c>
      <c r="C1" s="37" t="s">
        <v>10</v>
      </c>
      <c r="D1" s="19" t="s">
        <v>11</v>
      </c>
      <c r="E1" s="37" t="s">
        <v>12</v>
      </c>
      <c r="F1" s="19" t="s">
        <v>13</v>
      </c>
      <c r="G1" s="19" t="s">
        <v>14</v>
      </c>
      <c r="H1" s="19" t="s">
        <v>15</v>
      </c>
      <c r="I1" s="19" t="s">
        <v>16</v>
      </c>
      <c r="J1" s="19" t="s">
        <v>17</v>
      </c>
      <c r="K1" s="19" t="s">
        <v>18</v>
      </c>
      <c r="L1" s="19" t="s">
        <v>19</v>
      </c>
      <c r="M1" s="19" t="s">
        <v>20</v>
      </c>
      <c r="N1" s="19" t="s">
        <v>21</v>
      </c>
      <c r="O1" s="23" t="s">
        <v>435</v>
      </c>
      <c r="P1" s="23" t="s">
        <v>436</v>
      </c>
      <c r="Q1" s="23" t="s">
        <v>437</v>
      </c>
      <c r="R1" s="24" t="s">
        <v>438</v>
      </c>
      <c r="S1" s="23" t="s">
        <v>439</v>
      </c>
      <c r="T1" s="23"/>
    </row>
    <row r="2" spans="1:20" x14ac:dyDescent="0.2">
      <c r="A2" t="s">
        <v>22</v>
      </c>
      <c r="B2" t="s">
        <v>23</v>
      </c>
      <c r="C2" s="28">
        <v>749.71</v>
      </c>
      <c r="D2">
        <v>11</v>
      </c>
      <c r="E2" s="28">
        <v>71.34</v>
      </c>
      <c r="F2">
        <v>46</v>
      </c>
      <c r="G2">
        <v>8.6999999999999993</v>
      </c>
      <c r="H2">
        <v>2</v>
      </c>
      <c r="I2" t="s">
        <v>24</v>
      </c>
      <c r="J2">
        <v>3</v>
      </c>
      <c r="K2">
        <v>63.8</v>
      </c>
      <c r="L2">
        <v>20.9</v>
      </c>
      <c r="M2" t="s">
        <v>25</v>
      </c>
      <c r="N2" t="s">
        <v>26</v>
      </c>
      <c r="O2">
        <f>IF(F2&lt;=_xlfn.PERCENTILE.INC($F$2:$F$301,0.2), 5,
 IF(F2&lt;=_xlfn.PERCENTILE.INC($F$2:$F$301,0.4), 4,
 IF(F2&lt;=_xlfn.PERCENTILE.INC($F$2:$F$301,0.6), 3,
 IF(F2&lt;=_xlfn.PERCENTILE.INC($F$2:$F$301,0.8), 2, 1))))</f>
        <v>3</v>
      </c>
      <c r="P2">
        <f>IF(D2&gt;=_xlfn.PERCENTILE.INC($D$2:$D$301,0.8), 5,
 IF(D2&gt;=_xlfn.PERCENTILE.INC($D$2:$D$301,0.6), 4,
 IF(D2&gt;=_xlfn.PERCENTILE.INC($D$2:$D$301,0.4), 3,
 IF(D2&gt;=_xlfn.PERCENTILE.INC($D$2:$D$301,0.2), 2, 1))))</f>
        <v>5</v>
      </c>
      <c r="Q2">
        <f>IF(C2&gt;=_xlfn.PERCENTILE.INC($C$2:$C$301,0.8), 5,
 IF(C2&gt;=_xlfn.PERCENTILE.INC($C$2:$C$301,0.6), 4,
 IF(C2&gt;=_xlfn.PERCENTILE.INC($C$2:$C$301,0.4), 3,
 IF(C2&gt;=_xlfn.PERCENTILE.INC($C$2:$C$301,0.2), 2, 1))))</f>
        <v>5</v>
      </c>
      <c r="R2" s="25" t="str">
        <f>O2&amp;P2&amp;Q2</f>
        <v>355</v>
      </c>
      <c r="S2" t="str" cm="1">
        <f t="array" ref="S2">_xlfn.IFS(AND(O2&gt;=4, P2&gt;=4, Q2&gt;=4), "Champions", AND(O2&gt;=3, P2&gt;=4), "Loyal Customers", AND(O2&gt;=4, P2&lt;=2), "New / Promising", AND(O2&lt;=2, P2&gt;=4), "At Risk Loyalists", AND(Q2&gt;=4, P2&lt;=3), "Big Spenders", AND(O2&lt;=2, P2&lt;=2), "Lost / Dormant", TRUE, "Regular Customers")</f>
        <v>Loyal Customers</v>
      </c>
      <c r="T2" s="38"/>
    </row>
    <row r="3" spans="1:20" x14ac:dyDescent="0.2">
      <c r="A3" t="s">
        <v>27</v>
      </c>
      <c r="B3" t="s">
        <v>28</v>
      </c>
      <c r="C3" s="28">
        <v>511.7</v>
      </c>
      <c r="D3">
        <v>8</v>
      </c>
      <c r="E3" s="28">
        <v>66.36</v>
      </c>
      <c r="F3">
        <v>34</v>
      </c>
      <c r="G3">
        <v>4.3</v>
      </c>
      <c r="H3">
        <v>4</v>
      </c>
      <c r="I3" t="s">
        <v>24</v>
      </c>
      <c r="J3">
        <v>11</v>
      </c>
      <c r="K3">
        <v>41.3</v>
      </c>
      <c r="L3">
        <v>24.3</v>
      </c>
      <c r="M3" t="s">
        <v>29</v>
      </c>
      <c r="N3" t="s">
        <v>30</v>
      </c>
      <c r="O3">
        <f t="shared" ref="O3:O66" si="0">IF(F3&lt;=_xlfn.PERCENTILE.INC($F$2:$F$301,0.2), 5,
 IF(F3&lt;=_xlfn.PERCENTILE.INC($F$2:$F$301,0.4), 4,
 IF(F3&lt;=_xlfn.PERCENTILE.INC($F$2:$F$301,0.6), 3,
 IF(F3&lt;=_xlfn.PERCENTILE.INC($F$2:$F$301,0.8), 2, 1))))</f>
        <v>3</v>
      </c>
      <c r="P3">
        <f t="shared" ref="P3:P66" si="1">IF(D3&gt;=_xlfn.PERCENTILE.INC($D$2:$D$301,0.8), 5,
 IF(D3&gt;=_xlfn.PERCENTILE.INC($D$2:$D$301,0.6), 4,
 IF(D3&gt;=_xlfn.PERCENTILE.INC($D$2:$D$301,0.4), 3,
 IF(D3&gt;=_xlfn.PERCENTILE.INC($D$2:$D$301,0.2), 2, 1))))</f>
        <v>5</v>
      </c>
      <c r="Q3">
        <f t="shared" ref="Q3:Q66" si="2">IF(C3&gt;=_xlfn.PERCENTILE.INC($C$2:$C$301,0.8), 5,
 IF(C3&gt;=_xlfn.PERCENTILE.INC($C$2:$C$301,0.6), 4,
 IF(C3&gt;=_xlfn.PERCENTILE.INC($C$2:$C$301,0.4), 3,
 IF(C3&gt;=_xlfn.PERCENTILE.INC($C$2:$C$301,0.2), 2, 1))))</f>
        <v>5</v>
      </c>
      <c r="R3" s="25" t="str">
        <f t="shared" ref="R3:R66" si="3">O3&amp;P3&amp;Q3</f>
        <v>355</v>
      </c>
      <c r="S3" t="str" cm="1">
        <f t="array" ref="S3">_xlfn.IFS(AND(O3&gt;=4, P3&gt;=4, Q3&gt;=4), "Champions", AND(O3&gt;=3, P3&gt;=4), "Loyal Customers", AND(O3&gt;=4, P3&lt;=2), "New / Promising", AND(O3&lt;=2, P3&gt;=4), "At Risk Loyalists", AND(Q3&gt;=4, P3&lt;=3), "Big Spenders", AND(O3&lt;=2, P3&lt;=2), "Lost / Dormant", TRUE, "Regular Customers")</f>
        <v>Loyal Customers</v>
      </c>
      <c r="T3" s="38"/>
    </row>
    <row r="4" spans="1:20" x14ac:dyDescent="0.2">
      <c r="A4" t="s">
        <v>31</v>
      </c>
      <c r="B4" t="s">
        <v>32</v>
      </c>
      <c r="C4" s="28">
        <v>494.82</v>
      </c>
      <c r="D4">
        <v>7</v>
      </c>
      <c r="E4" s="28">
        <v>74.430000000000007</v>
      </c>
      <c r="F4">
        <v>28</v>
      </c>
      <c r="G4">
        <v>10.6</v>
      </c>
      <c r="H4">
        <v>2</v>
      </c>
      <c r="I4" t="s">
        <v>33</v>
      </c>
      <c r="J4">
        <v>0</v>
      </c>
      <c r="K4">
        <v>73.3</v>
      </c>
      <c r="L4">
        <v>18.5</v>
      </c>
      <c r="M4" t="s">
        <v>25</v>
      </c>
      <c r="N4" t="s">
        <v>30</v>
      </c>
      <c r="O4">
        <f t="shared" si="0"/>
        <v>4</v>
      </c>
      <c r="P4">
        <f t="shared" si="1"/>
        <v>5</v>
      </c>
      <c r="Q4">
        <f t="shared" si="2"/>
        <v>5</v>
      </c>
      <c r="R4" s="25" t="str">
        <f t="shared" si="3"/>
        <v>455</v>
      </c>
      <c r="S4" t="str" cm="1">
        <f t="array" ref="S4">_xlfn.IFS(AND(O4&gt;=4, P4&gt;=4, Q4&gt;=4), "Champions", AND(O4&gt;=3, P4&gt;=4), "Loyal Customers", AND(O4&gt;=4, P4&lt;=2), "New / Promising", AND(O4&lt;=2, P4&gt;=4), "At Risk Loyalists", AND(Q4&gt;=4, P4&lt;=3), "Big Spenders", AND(O4&lt;=2, P4&lt;=2), "Lost / Dormant", TRUE, "Regular Customers")</f>
        <v>Champions</v>
      </c>
      <c r="T4" s="38"/>
    </row>
    <row r="5" spans="1:20" x14ac:dyDescent="0.2">
      <c r="A5" t="s">
        <v>34</v>
      </c>
      <c r="B5" t="s">
        <v>35</v>
      </c>
      <c r="C5" s="28">
        <v>109.38</v>
      </c>
      <c r="D5">
        <v>2</v>
      </c>
      <c r="E5" s="28">
        <v>59.11</v>
      </c>
      <c r="F5">
        <v>165</v>
      </c>
      <c r="G5">
        <v>26.6</v>
      </c>
      <c r="H5">
        <v>2</v>
      </c>
      <c r="I5" t="s">
        <v>33</v>
      </c>
      <c r="J5">
        <v>0</v>
      </c>
      <c r="K5">
        <v>14.4</v>
      </c>
      <c r="L5">
        <v>6</v>
      </c>
      <c r="M5" t="s">
        <v>25</v>
      </c>
      <c r="N5" t="s">
        <v>30</v>
      </c>
      <c r="O5">
        <f t="shared" si="0"/>
        <v>1</v>
      </c>
      <c r="P5">
        <f t="shared" si="1"/>
        <v>1</v>
      </c>
      <c r="Q5">
        <f t="shared" si="2"/>
        <v>1</v>
      </c>
      <c r="R5" s="25" t="str">
        <f t="shared" si="3"/>
        <v>111</v>
      </c>
      <c r="S5" t="str" cm="1">
        <f t="array" ref="S5">_xlfn.IFS(AND(O5&gt;=4, P5&gt;=4, Q5&gt;=4), "Champions", AND(O5&gt;=3, P5&gt;=4), "Loyal Customers", AND(O5&gt;=4, P5&lt;=2), "New / Promising", AND(O5&lt;=2, P5&gt;=4), "At Risk Loyalists", AND(Q5&gt;=4, P5&lt;=3), "Big Spenders", AND(O5&lt;=2, P5&lt;=2), "Lost / Dormant", TRUE, "Regular Customers")</f>
        <v>Lost / Dormant</v>
      </c>
      <c r="T5" s="38"/>
    </row>
    <row r="6" spans="1:20" x14ac:dyDescent="0.2">
      <c r="A6" t="s">
        <v>36</v>
      </c>
      <c r="B6" t="s">
        <v>37</v>
      </c>
      <c r="C6" s="28">
        <v>289.77999999999997</v>
      </c>
      <c r="D6">
        <v>6</v>
      </c>
      <c r="E6" s="28">
        <v>47.67</v>
      </c>
      <c r="F6">
        <v>68</v>
      </c>
      <c r="G6">
        <v>46.9</v>
      </c>
      <c r="H6">
        <v>2</v>
      </c>
      <c r="I6" t="s">
        <v>24</v>
      </c>
      <c r="J6">
        <v>11</v>
      </c>
      <c r="K6">
        <v>30.6</v>
      </c>
      <c r="L6">
        <v>9.9</v>
      </c>
      <c r="M6" t="s">
        <v>25</v>
      </c>
      <c r="N6" t="s">
        <v>30</v>
      </c>
      <c r="O6">
        <f t="shared" si="0"/>
        <v>2</v>
      </c>
      <c r="P6">
        <f t="shared" si="1"/>
        <v>4</v>
      </c>
      <c r="Q6">
        <f t="shared" si="2"/>
        <v>3</v>
      </c>
      <c r="R6" s="25" t="str">
        <f t="shared" si="3"/>
        <v>243</v>
      </c>
      <c r="S6" t="str" cm="1">
        <f t="array" ref="S6">_xlfn.IFS(AND(O6&gt;=4, P6&gt;=4, Q6&gt;=4), "Champions", AND(O6&gt;=3, P6&gt;=4), "Loyal Customers", AND(O6&gt;=4, P6&lt;=2), "New / Promising", AND(O6&lt;=2, P6&gt;=4), "At Risk Loyalists", AND(Q6&gt;=4, P6&lt;=3), "Big Spenders", AND(O6&lt;=2, P6&lt;=2), "Lost / Dormant", TRUE, "Regular Customers")</f>
        <v>At Risk Loyalists</v>
      </c>
      <c r="T6" s="38"/>
    </row>
    <row r="7" spans="1:20" x14ac:dyDescent="0.2">
      <c r="A7" t="s">
        <v>38</v>
      </c>
      <c r="B7" t="s">
        <v>37</v>
      </c>
      <c r="C7" s="28">
        <v>330.78</v>
      </c>
      <c r="D7">
        <v>6</v>
      </c>
      <c r="E7" s="28">
        <v>52.13</v>
      </c>
      <c r="F7">
        <v>2</v>
      </c>
      <c r="G7">
        <v>21.5</v>
      </c>
      <c r="H7">
        <v>4</v>
      </c>
      <c r="I7" t="s">
        <v>33</v>
      </c>
      <c r="J7">
        <v>0</v>
      </c>
      <c r="K7">
        <v>23.8</v>
      </c>
      <c r="L7">
        <v>18.100000000000001</v>
      </c>
      <c r="M7" t="s">
        <v>39</v>
      </c>
      <c r="N7" t="s">
        <v>40</v>
      </c>
      <c r="O7">
        <f t="shared" si="0"/>
        <v>5</v>
      </c>
      <c r="P7">
        <f t="shared" si="1"/>
        <v>4</v>
      </c>
      <c r="Q7">
        <f t="shared" si="2"/>
        <v>4</v>
      </c>
      <c r="R7" s="25" t="str">
        <f t="shared" si="3"/>
        <v>544</v>
      </c>
      <c r="S7" t="str" cm="1">
        <f t="array" ref="S7">_xlfn.IFS(AND(O7&gt;=4, P7&gt;=4, Q7&gt;=4), "Champions", AND(O7&gt;=3, P7&gt;=4), "Loyal Customers", AND(O7&gt;=4, P7&lt;=2), "New / Promising", AND(O7&lt;=2, P7&gt;=4), "At Risk Loyalists", AND(Q7&gt;=4, P7&lt;=3), "Big Spenders", AND(O7&lt;=2, P7&lt;=2), "Lost / Dormant", TRUE, "Regular Customers")</f>
        <v>Champions</v>
      </c>
      <c r="T7" s="38"/>
    </row>
    <row r="8" spans="1:20" x14ac:dyDescent="0.2">
      <c r="A8" t="s">
        <v>41</v>
      </c>
      <c r="B8" t="s">
        <v>37</v>
      </c>
      <c r="C8" s="28">
        <v>90.86</v>
      </c>
      <c r="D8">
        <v>2</v>
      </c>
      <c r="E8" s="28">
        <v>49.3</v>
      </c>
      <c r="F8">
        <v>34</v>
      </c>
      <c r="G8">
        <v>25.5</v>
      </c>
      <c r="H8">
        <v>3</v>
      </c>
      <c r="I8" t="s">
        <v>33</v>
      </c>
      <c r="J8">
        <v>0</v>
      </c>
      <c r="K8">
        <v>53.2</v>
      </c>
      <c r="L8">
        <v>21.9</v>
      </c>
      <c r="M8" t="s">
        <v>25</v>
      </c>
      <c r="N8" t="s">
        <v>30</v>
      </c>
      <c r="O8">
        <f t="shared" si="0"/>
        <v>3</v>
      </c>
      <c r="P8">
        <f t="shared" si="1"/>
        <v>1</v>
      </c>
      <c r="Q8">
        <f t="shared" si="2"/>
        <v>1</v>
      </c>
      <c r="R8" s="25" t="str">
        <f t="shared" si="3"/>
        <v>311</v>
      </c>
      <c r="S8" t="str" cm="1">
        <f t="array" ref="S8">_xlfn.IFS(AND(O8&gt;=4, P8&gt;=4, Q8&gt;=4), "Champions", AND(O8&gt;=3, P8&gt;=4), "Loyal Customers", AND(O8&gt;=4, P8&lt;=2), "New / Promising", AND(O8&lt;=2, P8&gt;=4), "At Risk Loyalists", AND(Q8&gt;=4, P8&lt;=3), "Big Spenders", AND(O8&lt;=2, P8&lt;=2), "Lost / Dormant", TRUE, "Regular Customers")</f>
        <v>Regular Customers</v>
      </c>
      <c r="T8" s="38"/>
    </row>
    <row r="9" spans="1:20" x14ac:dyDescent="0.2">
      <c r="A9" t="s">
        <v>42</v>
      </c>
      <c r="B9" t="s">
        <v>32</v>
      </c>
      <c r="C9" s="28">
        <v>146.61000000000001</v>
      </c>
      <c r="D9">
        <v>6</v>
      </c>
      <c r="E9" s="28">
        <v>25.67</v>
      </c>
      <c r="F9">
        <v>26</v>
      </c>
      <c r="G9">
        <v>45</v>
      </c>
      <c r="H9">
        <v>1</v>
      </c>
      <c r="I9" t="s">
        <v>33</v>
      </c>
      <c r="J9">
        <v>0</v>
      </c>
      <c r="K9">
        <v>35.200000000000003</v>
      </c>
      <c r="L9">
        <v>14</v>
      </c>
      <c r="M9" t="s">
        <v>29</v>
      </c>
      <c r="N9" t="s">
        <v>43</v>
      </c>
      <c r="O9">
        <f t="shared" si="0"/>
        <v>4</v>
      </c>
      <c r="P9">
        <f t="shared" si="1"/>
        <v>4</v>
      </c>
      <c r="Q9">
        <f t="shared" si="2"/>
        <v>2</v>
      </c>
      <c r="R9" s="25" t="str">
        <f t="shared" si="3"/>
        <v>442</v>
      </c>
      <c r="S9" t="str" cm="1">
        <f t="array" ref="S9">_xlfn.IFS(AND(O9&gt;=4, P9&gt;=4, Q9&gt;=4), "Champions", AND(O9&gt;=3, P9&gt;=4), "Loyal Customers", AND(O9&gt;=4, P9&lt;=2), "New / Promising", AND(O9&lt;=2, P9&gt;=4), "At Risk Loyalists", AND(Q9&gt;=4, P9&lt;=3), "Big Spenders", AND(O9&lt;=2, P9&lt;=2), "Lost / Dormant", TRUE, "Regular Customers")</f>
        <v>Loyal Customers</v>
      </c>
      <c r="T9" s="38"/>
    </row>
    <row r="10" spans="1:20" x14ac:dyDescent="0.2">
      <c r="A10" t="s">
        <v>44</v>
      </c>
      <c r="B10" t="s">
        <v>35</v>
      </c>
      <c r="C10" s="28">
        <v>812.93</v>
      </c>
      <c r="D10">
        <v>9</v>
      </c>
      <c r="E10" s="28">
        <v>85.99</v>
      </c>
      <c r="F10">
        <v>24</v>
      </c>
      <c r="G10">
        <v>17.5</v>
      </c>
      <c r="H10">
        <v>3</v>
      </c>
      <c r="I10" t="s">
        <v>24</v>
      </c>
      <c r="J10">
        <v>13</v>
      </c>
      <c r="K10">
        <v>64.2</v>
      </c>
      <c r="L10">
        <v>13.1</v>
      </c>
      <c r="M10" t="s">
        <v>39</v>
      </c>
      <c r="N10" t="s">
        <v>45</v>
      </c>
      <c r="O10">
        <f t="shared" si="0"/>
        <v>4</v>
      </c>
      <c r="P10">
        <f t="shared" si="1"/>
        <v>5</v>
      </c>
      <c r="Q10">
        <f t="shared" si="2"/>
        <v>5</v>
      </c>
      <c r="R10" s="25" t="str">
        <f t="shared" si="3"/>
        <v>455</v>
      </c>
      <c r="S10" t="str" cm="1">
        <f t="array" ref="S10">_xlfn.IFS(AND(O10&gt;=4, P10&gt;=4, Q10&gt;=4), "Champions", AND(O10&gt;=3, P10&gt;=4), "Loyal Customers", AND(O10&gt;=4, P10&lt;=2), "New / Promising", AND(O10&lt;=2, P10&gt;=4), "At Risk Loyalists", AND(Q10&gt;=4, P10&lt;=3), "Big Spenders", AND(O10&lt;=2, P10&lt;=2), "Lost / Dormant", TRUE, "Regular Customers")</f>
        <v>Champions</v>
      </c>
      <c r="T10" s="38"/>
    </row>
    <row r="11" spans="1:20" x14ac:dyDescent="0.2">
      <c r="A11" t="s">
        <v>46</v>
      </c>
      <c r="B11" t="s">
        <v>35</v>
      </c>
      <c r="C11" s="28">
        <v>390.75</v>
      </c>
      <c r="D11">
        <v>8</v>
      </c>
      <c r="E11" s="28">
        <v>52.54</v>
      </c>
      <c r="F11">
        <v>81</v>
      </c>
      <c r="G11">
        <v>50.4</v>
      </c>
      <c r="H11">
        <v>2</v>
      </c>
      <c r="I11" t="s">
        <v>33</v>
      </c>
      <c r="J11">
        <v>0</v>
      </c>
      <c r="K11">
        <v>34.299999999999997</v>
      </c>
      <c r="L11">
        <v>10.8</v>
      </c>
      <c r="M11" t="s">
        <v>47</v>
      </c>
      <c r="N11" t="s">
        <v>43</v>
      </c>
      <c r="O11">
        <f t="shared" si="0"/>
        <v>2</v>
      </c>
      <c r="P11">
        <f t="shared" si="1"/>
        <v>5</v>
      </c>
      <c r="Q11">
        <f t="shared" si="2"/>
        <v>4</v>
      </c>
      <c r="R11" s="25" t="str">
        <f t="shared" si="3"/>
        <v>254</v>
      </c>
      <c r="S11" t="str" cm="1">
        <f t="array" ref="S11">_xlfn.IFS(AND(O11&gt;=4, P11&gt;=4, Q11&gt;=4), "Champions", AND(O11&gt;=3, P11&gt;=4), "Loyal Customers", AND(O11&gt;=4, P11&lt;=2), "New / Promising", AND(O11&lt;=2, P11&gt;=4), "At Risk Loyalists", AND(Q11&gt;=4, P11&lt;=3), "Big Spenders", AND(O11&lt;=2, P11&lt;=2), "Lost / Dormant", TRUE, "Regular Customers")</f>
        <v>At Risk Loyalists</v>
      </c>
      <c r="T11" s="38"/>
    </row>
    <row r="12" spans="1:20" x14ac:dyDescent="0.2">
      <c r="A12" t="s">
        <v>48</v>
      </c>
      <c r="B12" t="s">
        <v>37</v>
      </c>
      <c r="C12" s="28">
        <v>101.84</v>
      </c>
      <c r="D12">
        <v>2</v>
      </c>
      <c r="E12" s="28">
        <v>49.19</v>
      </c>
      <c r="F12">
        <v>159</v>
      </c>
      <c r="G12">
        <v>18.8</v>
      </c>
      <c r="H12">
        <v>2</v>
      </c>
      <c r="I12" t="s">
        <v>33</v>
      </c>
      <c r="J12">
        <v>0</v>
      </c>
      <c r="K12">
        <v>17.399999999999999</v>
      </c>
      <c r="L12">
        <v>13.9</v>
      </c>
      <c r="M12" t="s">
        <v>25</v>
      </c>
      <c r="N12" t="s">
        <v>43</v>
      </c>
      <c r="O12">
        <f t="shared" si="0"/>
        <v>1</v>
      </c>
      <c r="P12">
        <f t="shared" si="1"/>
        <v>1</v>
      </c>
      <c r="Q12">
        <f t="shared" si="2"/>
        <v>1</v>
      </c>
      <c r="R12" s="25" t="str">
        <f t="shared" si="3"/>
        <v>111</v>
      </c>
      <c r="S12" t="str" cm="1">
        <f t="array" ref="S12">_xlfn.IFS(AND(O12&gt;=4, P12&gt;=4, Q12&gt;=4), "Champions", AND(O12&gt;=3, P12&gt;=4), "Loyal Customers", AND(O12&gt;=4, P12&lt;=2), "New / Promising", AND(O12&lt;=2, P12&gt;=4), "At Risk Loyalists", AND(Q12&gt;=4, P12&lt;=3), "Big Spenders", AND(O12&lt;=2, P12&lt;=2), "Lost / Dormant", TRUE, "Regular Customers")</f>
        <v>Lost / Dormant</v>
      </c>
      <c r="T12" s="38"/>
    </row>
    <row r="13" spans="1:20" x14ac:dyDescent="0.2">
      <c r="A13" t="s">
        <v>49</v>
      </c>
      <c r="B13" t="s">
        <v>28</v>
      </c>
      <c r="C13" s="28">
        <v>209</v>
      </c>
      <c r="D13">
        <v>5</v>
      </c>
      <c r="E13" s="28">
        <v>42.3</v>
      </c>
      <c r="F13">
        <v>52</v>
      </c>
      <c r="G13">
        <v>49.4</v>
      </c>
      <c r="H13">
        <v>1</v>
      </c>
      <c r="I13" t="s">
        <v>24</v>
      </c>
      <c r="J13">
        <v>9</v>
      </c>
      <c r="K13">
        <v>36.9</v>
      </c>
      <c r="L13">
        <v>13.7</v>
      </c>
      <c r="M13" t="s">
        <v>47</v>
      </c>
      <c r="N13" t="s">
        <v>26</v>
      </c>
      <c r="O13">
        <f t="shared" si="0"/>
        <v>2</v>
      </c>
      <c r="P13">
        <f t="shared" si="1"/>
        <v>3</v>
      </c>
      <c r="Q13">
        <f t="shared" si="2"/>
        <v>3</v>
      </c>
      <c r="R13" s="25" t="str">
        <f t="shared" si="3"/>
        <v>233</v>
      </c>
      <c r="S13" t="str" cm="1">
        <f t="array" ref="S13">_xlfn.IFS(AND(O13&gt;=4, P13&gt;=4, Q13&gt;=4), "Champions", AND(O13&gt;=3, P13&gt;=4), "Loyal Customers", AND(O13&gt;=4, P13&lt;=2), "New / Promising", AND(O13&lt;=2, P13&gt;=4), "At Risk Loyalists", AND(Q13&gt;=4, P13&lt;=3), "Big Spenders", AND(O13&lt;=2, P13&lt;=2), "Lost / Dormant", TRUE, "Regular Customers")</f>
        <v>Regular Customers</v>
      </c>
      <c r="T13" s="38"/>
    </row>
    <row r="14" spans="1:20" x14ac:dyDescent="0.2">
      <c r="A14" t="s">
        <v>50</v>
      </c>
      <c r="B14" t="s">
        <v>32</v>
      </c>
      <c r="C14" s="28">
        <v>128.09</v>
      </c>
      <c r="D14">
        <v>3</v>
      </c>
      <c r="E14" s="28">
        <v>40.29</v>
      </c>
      <c r="F14">
        <v>150</v>
      </c>
      <c r="G14">
        <v>7.4</v>
      </c>
      <c r="H14">
        <v>3</v>
      </c>
      <c r="I14" t="s">
        <v>33</v>
      </c>
      <c r="J14">
        <v>0</v>
      </c>
      <c r="K14">
        <v>21.2</v>
      </c>
      <c r="L14">
        <v>10.3</v>
      </c>
      <c r="M14" t="s">
        <v>47</v>
      </c>
      <c r="N14" t="s">
        <v>26</v>
      </c>
      <c r="O14">
        <f t="shared" si="0"/>
        <v>1</v>
      </c>
      <c r="P14">
        <f t="shared" si="1"/>
        <v>2</v>
      </c>
      <c r="Q14">
        <f t="shared" si="2"/>
        <v>2</v>
      </c>
      <c r="R14" s="25" t="str">
        <f t="shared" si="3"/>
        <v>122</v>
      </c>
      <c r="S14" t="str" cm="1">
        <f t="array" ref="S14">_xlfn.IFS(AND(O14&gt;=4, P14&gt;=4, Q14&gt;=4), "Champions", AND(O14&gt;=3, P14&gt;=4), "Loyal Customers", AND(O14&gt;=4, P14&lt;=2), "New / Promising", AND(O14&lt;=2, P14&gt;=4), "At Risk Loyalists", AND(Q14&gt;=4, P14&lt;=3), "Big Spenders", AND(O14&lt;=2, P14&lt;=2), "Lost / Dormant", TRUE, "Regular Customers")</f>
        <v>Lost / Dormant</v>
      </c>
      <c r="T14" s="38"/>
    </row>
    <row r="15" spans="1:20" x14ac:dyDescent="0.2">
      <c r="A15" t="s">
        <v>51</v>
      </c>
      <c r="B15" t="s">
        <v>37</v>
      </c>
      <c r="C15" s="28">
        <v>261.39999999999998</v>
      </c>
      <c r="D15">
        <v>5</v>
      </c>
      <c r="E15" s="28">
        <v>49.07</v>
      </c>
      <c r="F15">
        <v>8</v>
      </c>
      <c r="G15">
        <v>55.8</v>
      </c>
      <c r="H15">
        <v>4</v>
      </c>
      <c r="I15" t="s">
        <v>33</v>
      </c>
      <c r="J15">
        <v>0</v>
      </c>
      <c r="K15">
        <v>51.8</v>
      </c>
      <c r="L15">
        <v>11.6</v>
      </c>
      <c r="M15" t="s">
        <v>25</v>
      </c>
      <c r="N15" t="s">
        <v>40</v>
      </c>
      <c r="O15">
        <f t="shared" si="0"/>
        <v>5</v>
      </c>
      <c r="P15">
        <f t="shared" si="1"/>
        <v>3</v>
      </c>
      <c r="Q15">
        <f t="shared" si="2"/>
        <v>3</v>
      </c>
      <c r="R15" s="25" t="str">
        <f t="shared" si="3"/>
        <v>533</v>
      </c>
      <c r="S15" t="str" cm="1">
        <f t="array" ref="S15">_xlfn.IFS(AND(O15&gt;=4, P15&gt;=4, Q15&gt;=4), "Champions", AND(O15&gt;=3, P15&gt;=4), "Loyal Customers", AND(O15&gt;=4, P15&lt;=2), "New / Promising", AND(O15&lt;=2, P15&gt;=4), "At Risk Loyalists", AND(Q15&gt;=4, P15&lt;=3), "Big Spenders", AND(O15&lt;=2, P15&lt;=2), "Lost / Dormant", TRUE, "Regular Customers")</f>
        <v>Regular Customers</v>
      </c>
      <c r="T15" s="38"/>
    </row>
    <row r="16" spans="1:20" x14ac:dyDescent="0.2">
      <c r="A16" t="s">
        <v>52</v>
      </c>
      <c r="B16" t="s">
        <v>37</v>
      </c>
      <c r="C16" s="28">
        <v>97.02</v>
      </c>
      <c r="D16">
        <v>2</v>
      </c>
      <c r="E16" s="28">
        <v>48.4</v>
      </c>
      <c r="F16">
        <v>138</v>
      </c>
      <c r="G16">
        <v>15.3</v>
      </c>
      <c r="H16">
        <v>3</v>
      </c>
      <c r="I16" t="s">
        <v>33</v>
      </c>
      <c r="J16">
        <v>0</v>
      </c>
      <c r="K16">
        <v>20.7</v>
      </c>
      <c r="L16">
        <v>8.1999999999999993</v>
      </c>
      <c r="M16" t="s">
        <v>53</v>
      </c>
      <c r="N16" t="s">
        <v>45</v>
      </c>
      <c r="O16">
        <f t="shared" si="0"/>
        <v>1</v>
      </c>
      <c r="P16">
        <f t="shared" si="1"/>
        <v>1</v>
      </c>
      <c r="Q16">
        <f t="shared" si="2"/>
        <v>1</v>
      </c>
      <c r="R16" s="25" t="str">
        <f t="shared" si="3"/>
        <v>111</v>
      </c>
      <c r="S16" t="str" cm="1">
        <f t="array" ref="S16">_xlfn.IFS(AND(O16&gt;=4, P16&gt;=4, Q16&gt;=4), "Champions", AND(O16&gt;=3, P16&gt;=4), "Loyal Customers", AND(O16&gt;=4, P16&lt;=2), "New / Promising", AND(O16&lt;=2, P16&gt;=4), "At Risk Loyalists", AND(Q16&gt;=4, P16&lt;=3), "Big Spenders", AND(O16&lt;=2, P16&lt;=2), "Lost / Dormant", TRUE, "Regular Customers")</f>
        <v>Lost / Dormant</v>
      </c>
      <c r="T16" s="38"/>
    </row>
    <row r="17" spans="1:20" x14ac:dyDescent="0.2">
      <c r="A17" t="s">
        <v>54</v>
      </c>
      <c r="B17" t="s">
        <v>37</v>
      </c>
      <c r="C17" s="28">
        <v>209.33</v>
      </c>
      <c r="D17">
        <v>8</v>
      </c>
      <c r="E17" s="28">
        <v>28.08</v>
      </c>
      <c r="F17">
        <v>17</v>
      </c>
      <c r="G17">
        <v>43.7</v>
      </c>
      <c r="H17">
        <v>1</v>
      </c>
      <c r="I17" t="s">
        <v>33</v>
      </c>
      <c r="J17">
        <v>0</v>
      </c>
      <c r="K17">
        <v>49.6</v>
      </c>
      <c r="L17">
        <v>3.8</v>
      </c>
      <c r="M17" t="s">
        <v>55</v>
      </c>
      <c r="N17" t="s">
        <v>30</v>
      </c>
      <c r="O17">
        <f t="shared" si="0"/>
        <v>5</v>
      </c>
      <c r="P17">
        <f t="shared" si="1"/>
        <v>5</v>
      </c>
      <c r="Q17">
        <f t="shared" si="2"/>
        <v>3</v>
      </c>
      <c r="R17" s="25" t="str">
        <f t="shared" si="3"/>
        <v>553</v>
      </c>
      <c r="S17" t="str" cm="1">
        <f t="array" ref="S17">_xlfn.IFS(AND(O17&gt;=4, P17&gt;=4, Q17&gt;=4), "Champions", AND(O17&gt;=3, P17&gt;=4), "Loyal Customers", AND(O17&gt;=4, P17&lt;=2), "New / Promising", AND(O17&lt;=2, P17&gt;=4), "At Risk Loyalists", AND(Q17&gt;=4, P17&lt;=3), "Big Spenders", AND(O17&lt;=2, P17&lt;=2), "Lost / Dormant", TRUE, "Regular Customers")</f>
        <v>Loyal Customers</v>
      </c>
      <c r="T17" s="38"/>
    </row>
    <row r="18" spans="1:20" x14ac:dyDescent="0.2">
      <c r="A18" t="s">
        <v>56</v>
      </c>
      <c r="B18" t="s">
        <v>23</v>
      </c>
      <c r="C18" s="28">
        <v>220.12</v>
      </c>
      <c r="D18">
        <v>5</v>
      </c>
      <c r="E18" s="28">
        <v>42.61</v>
      </c>
      <c r="F18">
        <v>59</v>
      </c>
      <c r="G18">
        <v>32.6</v>
      </c>
      <c r="H18">
        <v>2</v>
      </c>
      <c r="I18" t="s">
        <v>33</v>
      </c>
      <c r="J18">
        <v>0</v>
      </c>
      <c r="K18">
        <v>44.5</v>
      </c>
      <c r="L18">
        <v>4.4000000000000004</v>
      </c>
      <c r="M18" t="s">
        <v>25</v>
      </c>
      <c r="N18" t="s">
        <v>43</v>
      </c>
      <c r="O18">
        <f t="shared" si="0"/>
        <v>2</v>
      </c>
      <c r="P18">
        <f t="shared" si="1"/>
        <v>3</v>
      </c>
      <c r="Q18">
        <f t="shared" si="2"/>
        <v>3</v>
      </c>
      <c r="R18" s="25" t="str">
        <f t="shared" si="3"/>
        <v>233</v>
      </c>
      <c r="S18" t="str" cm="1">
        <f t="array" ref="S18">_xlfn.IFS(AND(O18&gt;=4, P18&gt;=4, Q18&gt;=4), "Champions", AND(O18&gt;=3, P18&gt;=4), "Loyal Customers", AND(O18&gt;=4, P18&lt;=2), "New / Promising", AND(O18&lt;=2, P18&gt;=4), "At Risk Loyalists", AND(Q18&gt;=4, P18&lt;=3), "Big Spenders", AND(O18&lt;=2, P18&lt;=2), "Lost / Dormant", TRUE, "Regular Customers")</f>
        <v>Regular Customers</v>
      </c>
      <c r="T18" s="38"/>
    </row>
    <row r="19" spans="1:20" x14ac:dyDescent="0.2">
      <c r="A19" t="s">
        <v>57</v>
      </c>
      <c r="B19" t="s">
        <v>58</v>
      </c>
      <c r="C19" s="28">
        <v>205.8</v>
      </c>
      <c r="D19">
        <v>4</v>
      </c>
      <c r="E19" s="28">
        <v>54.86</v>
      </c>
      <c r="F19">
        <v>72</v>
      </c>
      <c r="G19">
        <v>22.8</v>
      </c>
      <c r="H19">
        <v>5</v>
      </c>
      <c r="I19" t="s">
        <v>33</v>
      </c>
      <c r="J19">
        <v>0</v>
      </c>
      <c r="K19">
        <v>52.3</v>
      </c>
      <c r="L19">
        <v>11.5</v>
      </c>
      <c r="M19" t="s">
        <v>29</v>
      </c>
      <c r="N19" t="s">
        <v>43</v>
      </c>
      <c r="O19">
        <f t="shared" si="0"/>
        <v>2</v>
      </c>
      <c r="P19">
        <f t="shared" si="1"/>
        <v>3</v>
      </c>
      <c r="Q19">
        <f t="shared" si="2"/>
        <v>2</v>
      </c>
      <c r="R19" s="25" t="str">
        <f t="shared" si="3"/>
        <v>232</v>
      </c>
      <c r="S19" t="str" cm="1">
        <f t="array" ref="S19">_xlfn.IFS(AND(O19&gt;=4, P19&gt;=4, Q19&gt;=4), "Champions", AND(O19&gt;=3, P19&gt;=4), "Loyal Customers", AND(O19&gt;=4, P19&lt;=2), "New / Promising", AND(O19&lt;=2, P19&gt;=4), "At Risk Loyalists", AND(Q19&gt;=4, P19&lt;=3), "Big Spenders", AND(O19&lt;=2, P19&lt;=2), "Lost / Dormant", TRUE, "Regular Customers")</f>
        <v>Regular Customers</v>
      </c>
      <c r="T19" s="38"/>
    </row>
    <row r="20" spans="1:20" x14ac:dyDescent="0.2">
      <c r="A20" t="s">
        <v>59</v>
      </c>
      <c r="B20" t="s">
        <v>23</v>
      </c>
      <c r="C20" s="28">
        <v>287.11</v>
      </c>
      <c r="D20">
        <v>5</v>
      </c>
      <c r="E20" s="28">
        <v>57.36</v>
      </c>
      <c r="F20">
        <v>48</v>
      </c>
      <c r="G20">
        <v>25.6</v>
      </c>
      <c r="H20">
        <v>5</v>
      </c>
      <c r="I20" t="s">
        <v>24</v>
      </c>
      <c r="J20">
        <v>7</v>
      </c>
      <c r="K20">
        <v>37.700000000000003</v>
      </c>
      <c r="L20">
        <v>12.1</v>
      </c>
      <c r="M20" t="s">
        <v>47</v>
      </c>
      <c r="N20" t="s">
        <v>26</v>
      </c>
      <c r="O20">
        <f t="shared" si="0"/>
        <v>3</v>
      </c>
      <c r="P20">
        <f t="shared" si="1"/>
        <v>3</v>
      </c>
      <c r="Q20">
        <f t="shared" si="2"/>
        <v>3</v>
      </c>
      <c r="R20" s="25" t="str">
        <f t="shared" si="3"/>
        <v>333</v>
      </c>
      <c r="S20" t="str" cm="1">
        <f t="array" ref="S20">_xlfn.IFS(AND(O20&gt;=4, P20&gt;=4, Q20&gt;=4), "Champions", AND(O20&gt;=3, P20&gt;=4), "Loyal Customers", AND(O20&gt;=4, P20&lt;=2), "New / Promising", AND(O20&lt;=2, P20&gt;=4), "At Risk Loyalists", AND(Q20&gt;=4, P20&lt;=3), "Big Spenders", AND(O20&lt;=2, P20&lt;=2), "Lost / Dormant", TRUE, "Regular Customers")</f>
        <v>Regular Customers</v>
      </c>
      <c r="T20" s="38"/>
    </row>
    <row r="21" spans="1:20" x14ac:dyDescent="0.2">
      <c r="A21" t="s">
        <v>60</v>
      </c>
      <c r="B21" t="s">
        <v>23</v>
      </c>
      <c r="C21" s="28">
        <v>667.32</v>
      </c>
      <c r="D21">
        <v>8</v>
      </c>
      <c r="E21" s="28">
        <v>81.16</v>
      </c>
      <c r="F21">
        <v>35</v>
      </c>
      <c r="G21">
        <v>14.1</v>
      </c>
      <c r="H21">
        <v>1</v>
      </c>
      <c r="I21" t="s">
        <v>24</v>
      </c>
      <c r="J21">
        <v>8</v>
      </c>
      <c r="K21">
        <v>60.8</v>
      </c>
      <c r="L21">
        <v>11.3</v>
      </c>
      <c r="M21" t="s">
        <v>47</v>
      </c>
      <c r="N21" t="s">
        <v>43</v>
      </c>
      <c r="O21">
        <f t="shared" si="0"/>
        <v>3</v>
      </c>
      <c r="P21">
        <f t="shared" si="1"/>
        <v>5</v>
      </c>
      <c r="Q21">
        <f t="shared" si="2"/>
        <v>5</v>
      </c>
      <c r="R21" s="25" t="str">
        <f t="shared" si="3"/>
        <v>355</v>
      </c>
      <c r="S21" t="str" cm="1">
        <f t="array" ref="S21">_xlfn.IFS(AND(O21&gt;=4, P21&gt;=4, Q21&gt;=4), "Champions", AND(O21&gt;=3, P21&gt;=4), "Loyal Customers", AND(O21&gt;=4, P21&lt;=2), "New / Promising", AND(O21&lt;=2, P21&gt;=4), "At Risk Loyalists", AND(Q21&gt;=4, P21&lt;=3), "Big Spenders", AND(O21&lt;=2, P21&lt;=2), "Lost / Dormant", TRUE, "Regular Customers")</f>
        <v>Loyal Customers</v>
      </c>
      <c r="T21" s="38"/>
    </row>
    <row r="22" spans="1:20" x14ac:dyDescent="0.2">
      <c r="A22" t="s">
        <v>61</v>
      </c>
      <c r="B22" t="s">
        <v>35</v>
      </c>
      <c r="C22" s="28">
        <v>320.24</v>
      </c>
      <c r="D22">
        <v>6</v>
      </c>
      <c r="E22" s="28">
        <v>52.39</v>
      </c>
      <c r="F22">
        <v>31</v>
      </c>
      <c r="G22">
        <v>45.1</v>
      </c>
      <c r="H22">
        <v>5</v>
      </c>
      <c r="I22" t="s">
        <v>33</v>
      </c>
      <c r="J22">
        <v>0</v>
      </c>
      <c r="K22">
        <v>47.7</v>
      </c>
      <c r="L22">
        <v>23</v>
      </c>
      <c r="M22" t="s">
        <v>25</v>
      </c>
      <c r="N22" t="s">
        <v>30</v>
      </c>
      <c r="O22">
        <f t="shared" si="0"/>
        <v>4</v>
      </c>
      <c r="P22">
        <f t="shared" si="1"/>
        <v>4</v>
      </c>
      <c r="Q22">
        <f t="shared" si="2"/>
        <v>4</v>
      </c>
      <c r="R22" s="25" t="str">
        <f t="shared" si="3"/>
        <v>444</v>
      </c>
      <c r="S22" t="str" cm="1">
        <f t="array" ref="S22">_xlfn.IFS(AND(O22&gt;=4, P22&gt;=4, Q22&gt;=4), "Champions", AND(O22&gt;=3, P22&gt;=4), "Loyal Customers", AND(O22&gt;=4, P22&lt;=2), "New / Promising", AND(O22&lt;=2, P22&gt;=4), "At Risk Loyalists", AND(Q22&gt;=4, P22&lt;=3), "Big Spenders", AND(O22&lt;=2, P22&lt;=2), "Lost / Dormant", TRUE, "Regular Customers")</f>
        <v>Champions</v>
      </c>
      <c r="T22" s="38"/>
    </row>
    <row r="23" spans="1:20" x14ac:dyDescent="0.2">
      <c r="A23" t="s">
        <v>62</v>
      </c>
      <c r="B23" t="s">
        <v>37</v>
      </c>
      <c r="C23" s="28">
        <v>310.07</v>
      </c>
      <c r="D23">
        <v>6</v>
      </c>
      <c r="E23" s="28">
        <v>50.41</v>
      </c>
      <c r="F23">
        <v>63</v>
      </c>
      <c r="G23">
        <v>61.3</v>
      </c>
      <c r="H23">
        <v>3</v>
      </c>
      <c r="I23" t="s">
        <v>33</v>
      </c>
      <c r="J23">
        <v>0</v>
      </c>
      <c r="K23">
        <v>26.6</v>
      </c>
      <c r="L23">
        <v>6.9</v>
      </c>
      <c r="M23" t="s">
        <v>25</v>
      </c>
      <c r="N23" t="s">
        <v>30</v>
      </c>
      <c r="O23">
        <f t="shared" si="0"/>
        <v>2</v>
      </c>
      <c r="P23">
        <f t="shared" si="1"/>
        <v>4</v>
      </c>
      <c r="Q23">
        <f t="shared" si="2"/>
        <v>4</v>
      </c>
      <c r="R23" s="25" t="str">
        <f t="shared" si="3"/>
        <v>244</v>
      </c>
      <c r="S23" t="str" cm="1">
        <f t="array" ref="S23">_xlfn.IFS(AND(O23&gt;=4, P23&gt;=4, Q23&gt;=4), "Champions", AND(O23&gt;=3, P23&gt;=4), "Loyal Customers", AND(O23&gt;=4, P23&lt;=2), "New / Promising", AND(O23&lt;=2, P23&gt;=4), "At Risk Loyalists", AND(Q23&gt;=4, P23&lt;=3), "Big Spenders", AND(O23&lt;=2, P23&lt;=2), "Lost / Dormant", TRUE, "Regular Customers")</f>
        <v>At Risk Loyalists</v>
      </c>
      <c r="T23" s="38"/>
    </row>
    <row r="24" spans="1:20" x14ac:dyDescent="0.2">
      <c r="A24" t="s">
        <v>63</v>
      </c>
      <c r="B24" t="s">
        <v>23</v>
      </c>
      <c r="C24" s="28">
        <v>282.70999999999998</v>
      </c>
      <c r="D24">
        <v>5</v>
      </c>
      <c r="E24" s="28">
        <v>57.42</v>
      </c>
      <c r="F24">
        <v>40</v>
      </c>
      <c r="G24">
        <v>29.3</v>
      </c>
      <c r="H24">
        <v>5</v>
      </c>
      <c r="I24" t="s">
        <v>33</v>
      </c>
      <c r="J24">
        <v>0</v>
      </c>
      <c r="K24">
        <v>53.6</v>
      </c>
      <c r="L24">
        <v>14.8</v>
      </c>
      <c r="M24" t="s">
        <v>29</v>
      </c>
      <c r="N24" t="s">
        <v>30</v>
      </c>
      <c r="O24">
        <f t="shared" si="0"/>
        <v>3</v>
      </c>
      <c r="P24">
        <f t="shared" si="1"/>
        <v>3</v>
      </c>
      <c r="Q24">
        <f t="shared" si="2"/>
        <v>3</v>
      </c>
      <c r="R24" s="25" t="str">
        <f t="shared" si="3"/>
        <v>333</v>
      </c>
      <c r="S24" t="str" cm="1">
        <f t="array" ref="S24">_xlfn.IFS(AND(O24&gt;=4, P24&gt;=4, Q24&gt;=4), "Champions", AND(O24&gt;=3, P24&gt;=4), "Loyal Customers", AND(O24&gt;=4, P24&lt;=2), "New / Promising", AND(O24&lt;=2, P24&gt;=4), "At Risk Loyalists", AND(Q24&gt;=4, P24&lt;=3), "Big Spenders", AND(O24&lt;=2, P24&lt;=2), "Lost / Dormant", TRUE, "Regular Customers")</f>
        <v>Regular Customers</v>
      </c>
      <c r="T24" s="38"/>
    </row>
    <row r="25" spans="1:20" x14ac:dyDescent="0.2">
      <c r="A25" t="s">
        <v>64</v>
      </c>
      <c r="B25" t="s">
        <v>23</v>
      </c>
      <c r="C25" s="28">
        <v>302.67</v>
      </c>
      <c r="D25">
        <v>7</v>
      </c>
      <c r="E25" s="28">
        <v>46.95</v>
      </c>
      <c r="F25">
        <v>47</v>
      </c>
      <c r="G25">
        <v>32</v>
      </c>
      <c r="H25">
        <v>4</v>
      </c>
      <c r="I25" t="s">
        <v>33</v>
      </c>
      <c r="J25">
        <v>0</v>
      </c>
      <c r="K25">
        <v>61.8</v>
      </c>
      <c r="L25">
        <v>13.6</v>
      </c>
      <c r="M25" t="s">
        <v>39</v>
      </c>
      <c r="N25" t="s">
        <v>43</v>
      </c>
      <c r="O25">
        <f t="shared" si="0"/>
        <v>3</v>
      </c>
      <c r="P25">
        <f t="shared" si="1"/>
        <v>5</v>
      </c>
      <c r="Q25">
        <f t="shared" si="2"/>
        <v>3</v>
      </c>
      <c r="R25" s="25" t="str">
        <f t="shared" si="3"/>
        <v>353</v>
      </c>
      <c r="S25" t="str" cm="1">
        <f t="array" ref="S25">_xlfn.IFS(AND(O25&gt;=4, P25&gt;=4, Q25&gt;=4), "Champions", AND(O25&gt;=3, P25&gt;=4), "Loyal Customers", AND(O25&gt;=4, P25&lt;=2), "New / Promising", AND(O25&lt;=2, P25&gt;=4), "At Risk Loyalists", AND(Q25&gt;=4, P25&lt;=3), "Big Spenders", AND(O25&lt;=2, P25&lt;=2), "Lost / Dormant", TRUE, "Regular Customers")</f>
        <v>Loyal Customers</v>
      </c>
      <c r="T25" s="38"/>
    </row>
    <row r="26" spans="1:20" x14ac:dyDescent="0.2">
      <c r="A26" t="s">
        <v>65</v>
      </c>
      <c r="B26" t="s">
        <v>58</v>
      </c>
      <c r="C26" s="28">
        <v>97.67</v>
      </c>
      <c r="D26">
        <v>3</v>
      </c>
      <c r="E26" s="28">
        <v>33.229999999999997</v>
      </c>
      <c r="F26">
        <v>71</v>
      </c>
      <c r="G26">
        <v>30.7</v>
      </c>
      <c r="H26">
        <v>2</v>
      </c>
      <c r="I26" t="s">
        <v>33</v>
      </c>
      <c r="J26">
        <v>0</v>
      </c>
      <c r="K26">
        <v>22.5</v>
      </c>
      <c r="L26">
        <v>8.8000000000000007</v>
      </c>
      <c r="M26" t="s">
        <v>47</v>
      </c>
      <c r="N26" t="s">
        <v>40</v>
      </c>
      <c r="O26">
        <f t="shared" si="0"/>
        <v>2</v>
      </c>
      <c r="P26">
        <f t="shared" si="1"/>
        <v>2</v>
      </c>
      <c r="Q26">
        <f t="shared" si="2"/>
        <v>1</v>
      </c>
      <c r="R26" s="25" t="str">
        <f t="shared" si="3"/>
        <v>221</v>
      </c>
      <c r="S26" t="str" cm="1">
        <f t="array" ref="S26">_xlfn.IFS(AND(O26&gt;=4, P26&gt;=4, Q26&gt;=4), "Champions", AND(O26&gt;=3, P26&gt;=4), "Loyal Customers", AND(O26&gt;=4, P26&lt;=2), "New / Promising", AND(O26&lt;=2, P26&gt;=4), "At Risk Loyalists", AND(Q26&gt;=4, P26&lt;=3), "Big Spenders", AND(O26&lt;=2, P26&lt;=2), "Lost / Dormant", TRUE, "Regular Customers")</f>
        <v>Lost / Dormant</v>
      </c>
      <c r="T26" s="38"/>
    </row>
    <row r="27" spans="1:20" x14ac:dyDescent="0.2">
      <c r="A27" t="s">
        <v>66</v>
      </c>
      <c r="B27" t="s">
        <v>32</v>
      </c>
      <c r="C27" s="28">
        <v>880.14</v>
      </c>
      <c r="D27">
        <v>11</v>
      </c>
      <c r="E27" s="28">
        <v>82.1</v>
      </c>
      <c r="F27">
        <v>51</v>
      </c>
      <c r="G27">
        <v>7.9</v>
      </c>
      <c r="H27">
        <v>4</v>
      </c>
      <c r="I27" t="s">
        <v>24</v>
      </c>
      <c r="J27">
        <v>10</v>
      </c>
      <c r="K27">
        <v>50.5</v>
      </c>
      <c r="L27">
        <v>15.9</v>
      </c>
      <c r="M27" t="s">
        <v>29</v>
      </c>
      <c r="N27" t="s">
        <v>30</v>
      </c>
      <c r="O27">
        <f t="shared" si="0"/>
        <v>2</v>
      </c>
      <c r="P27">
        <f t="shared" si="1"/>
        <v>5</v>
      </c>
      <c r="Q27">
        <f t="shared" si="2"/>
        <v>5</v>
      </c>
      <c r="R27" s="25" t="str">
        <f t="shared" si="3"/>
        <v>255</v>
      </c>
      <c r="S27" t="str" cm="1">
        <f t="array" ref="S27">_xlfn.IFS(AND(O27&gt;=4, P27&gt;=4, Q27&gt;=4), "Champions", AND(O27&gt;=3, P27&gt;=4), "Loyal Customers", AND(O27&gt;=4, P27&lt;=2), "New / Promising", AND(O27&lt;=2, P27&gt;=4), "At Risk Loyalists", AND(Q27&gt;=4, P27&lt;=3), "Big Spenders", AND(O27&lt;=2, P27&lt;=2), "Lost / Dormant", TRUE, "Regular Customers")</f>
        <v>At Risk Loyalists</v>
      </c>
      <c r="T27" s="38"/>
    </row>
    <row r="28" spans="1:20" x14ac:dyDescent="0.2">
      <c r="A28" t="s">
        <v>67</v>
      </c>
      <c r="B28" t="s">
        <v>37</v>
      </c>
      <c r="C28" s="28">
        <v>92.42</v>
      </c>
      <c r="D28">
        <v>3</v>
      </c>
      <c r="E28" s="28">
        <v>28.84</v>
      </c>
      <c r="F28">
        <v>88</v>
      </c>
      <c r="G28">
        <v>60.3</v>
      </c>
      <c r="H28">
        <v>4</v>
      </c>
      <c r="I28" t="s">
        <v>33</v>
      </c>
      <c r="J28">
        <v>0</v>
      </c>
      <c r="K28">
        <v>43.6</v>
      </c>
      <c r="L28">
        <v>9</v>
      </c>
      <c r="M28" t="s">
        <v>39</v>
      </c>
      <c r="N28" t="s">
        <v>30</v>
      </c>
      <c r="O28">
        <f t="shared" si="0"/>
        <v>2</v>
      </c>
      <c r="P28">
        <f t="shared" si="1"/>
        <v>2</v>
      </c>
      <c r="Q28">
        <f t="shared" si="2"/>
        <v>1</v>
      </c>
      <c r="R28" s="25" t="str">
        <f t="shared" si="3"/>
        <v>221</v>
      </c>
      <c r="S28" t="str" cm="1">
        <f t="array" ref="S28">_xlfn.IFS(AND(O28&gt;=4, P28&gt;=4, Q28&gt;=4), "Champions", AND(O28&gt;=3, P28&gt;=4), "Loyal Customers", AND(O28&gt;=4, P28&lt;=2), "New / Promising", AND(O28&lt;=2, P28&gt;=4), "At Risk Loyalists", AND(Q28&gt;=4, P28&lt;=3), "Big Spenders", AND(O28&lt;=2, P28&lt;=2), "Lost / Dormant", TRUE, "Regular Customers")</f>
        <v>Lost / Dormant</v>
      </c>
      <c r="T28" s="38"/>
    </row>
    <row r="29" spans="1:20" x14ac:dyDescent="0.2">
      <c r="A29" t="s">
        <v>68</v>
      </c>
      <c r="B29" t="s">
        <v>58</v>
      </c>
      <c r="C29" s="28">
        <v>138.72</v>
      </c>
      <c r="D29">
        <v>3</v>
      </c>
      <c r="E29" s="28">
        <v>45.95</v>
      </c>
      <c r="F29">
        <v>63</v>
      </c>
      <c r="G29">
        <v>19.2</v>
      </c>
      <c r="H29">
        <v>1</v>
      </c>
      <c r="I29" t="s">
        <v>33</v>
      </c>
      <c r="J29">
        <v>0</v>
      </c>
      <c r="K29">
        <v>29.8</v>
      </c>
      <c r="L29">
        <v>3.1</v>
      </c>
      <c r="M29" t="s">
        <v>47</v>
      </c>
      <c r="N29" t="s">
        <v>30</v>
      </c>
      <c r="O29">
        <f t="shared" si="0"/>
        <v>2</v>
      </c>
      <c r="P29">
        <f t="shared" si="1"/>
        <v>2</v>
      </c>
      <c r="Q29">
        <f t="shared" si="2"/>
        <v>2</v>
      </c>
      <c r="R29" s="25" t="str">
        <f t="shared" si="3"/>
        <v>222</v>
      </c>
      <c r="S29" t="str" cm="1">
        <f t="array" ref="S29">_xlfn.IFS(AND(O29&gt;=4, P29&gt;=4, Q29&gt;=4), "Champions", AND(O29&gt;=3, P29&gt;=4), "Loyal Customers", AND(O29&gt;=4, P29&lt;=2), "New / Promising", AND(O29&lt;=2, P29&gt;=4), "At Risk Loyalists", AND(Q29&gt;=4, P29&lt;=3), "Big Spenders", AND(O29&lt;=2, P29&lt;=2), "Lost / Dormant", TRUE, "Regular Customers")</f>
        <v>Lost / Dormant</v>
      </c>
      <c r="T29" s="38"/>
    </row>
    <row r="30" spans="1:20" x14ac:dyDescent="0.2">
      <c r="A30" t="s">
        <v>69</v>
      </c>
      <c r="B30" t="s">
        <v>35</v>
      </c>
      <c r="C30" s="28">
        <v>108.9</v>
      </c>
      <c r="D30">
        <v>3</v>
      </c>
      <c r="E30" s="28">
        <v>36.15</v>
      </c>
      <c r="F30">
        <v>182</v>
      </c>
      <c r="G30">
        <v>12.1</v>
      </c>
      <c r="H30">
        <v>1</v>
      </c>
      <c r="I30" t="s">
        <v>33</v>
      </c>
      <c r="J30">
        <v>0</v>
      </c>
      <c r="K30">
        <v>20.2</v>
      </c>
      <c r="L30">
        <v>2.1</v>
      </c>
      <c r="M30" t="s">
        <v>25</v>
      </c>
      <c r="N30" t="s">
        <v>43</v>
      </c>
      <c r="O30">
        <f t="shared" si="0"/>
        <v>1</v>
      </c>
      <c r="P30">
        <f t="shared" si="1"/>
        <v>2</v>
      </c>
      <c r="Q30">
        <f t="shared" si="2"/>
        <v>1</v>
      </c>
      <c r="R30" s="25" t="str">
        <f t="shared" si="3"/>
        <v>121</v>
      </c>
      <c r="S30" t="str" cm="1">
        <f t="array" ref="S30">_xlfn.IFS(AND(O30&gt;=4, P30&gt;=4, Q30&gt;=4), "Champions", AND(O30&gt;=3, P30&gt;=4), "Loyal Customers", AND(O30&gt;=4, P30&lt;=2), "New / Promising", AND(O30&lt;=2, P30&gt;=4), "At Risk Loyalists", AND(Q30&gt;=4, P30&lt;=3), "Big Spenders", AND(O30&lt;=2, P30&lt;=2), "Lost / Dormant", TRUE, "Regular Customers")</f>
        <v>Lost / Dormant</v>
      </c>
      <c r="T30" s="38"/>
    </row>
    <row r="31" spans="1:20" x14ac:dyDescent="0.2">
      <c r="A31" t="s">
        <v>70</v>
      </c>
      <c r="B31" t="s">
        <v>37</v>
      </c>
      <c r="C31" s="28">
        <v>598.65</v>
      </c>
      <c r="D31">
        <v>9</v>
      </c>
      <c r="E31" s="28">
        <v>65.989999999999995</v>
      </c>
      <c r="F31">
        <v>4</v>
      </c>
      <c r="G31">
        <v>13.9</v>
      </c>
      <c r="H31">
        <v>4</v>
      </c>
      <c r="I31" t="s">
        <v>33</v>
      </c>
      <c r="J31">
        <v>0</v>
      </c>
      <c r="K31">
        <v>72.8</v>
      </c>
      <c r="L31">
        <v>15.6</v>
      </c>
      <c r="M31" t="s">
        <v>29</v>
      </c>
      <c r="N31" t="s">
        <v>43</v>
      </c>
      <c r="O31">
        <f t="shared" si="0"/>
        <v>5</v>
      </c>
      <c r="P31">
        <f t="shared" si="1"/>
        <v>5</v>
      </c>
      <c r="Q31">
        <f t="shared" si="2"/>
        <v>5</v>
      </c>
      <c r="R31" s="25" t="str">
        <f t="shared" si="3"/>
        <v>555</v>
      </c>
      <c r="S31" t="str" cm="1">
        <f t="array" ref="S31">_xlfn.IFS(AND(O31&gt;=4, P31&gt;=4, Q31&gt;=4), "Champions", AND(O31&gt;=3, P31&gt;=4), "Loyal Customers", AND(O31&gt;=4, P31&lt;=2), "New / Promising", AND(O31&lt;=2, P31&gt;=4), "At Risk Loyalists", AND(Q31&gt;=4, P31&lt;=3), "Big Spenders", AND(O31&lt;=2, P31&lt;=2), "Lost / Dormant", TRUE, "Regular Customers")</f>
        <v>Champions</v>
      </c>
      <c r="T31" s="38"/>
    </row>
    <row r="32" spans="1:20" x14ac:dyDescent="0.2">
      <c r="A32" t="s">
        <v>71</v>
      </c>
      <c r="B32" t="s">
        <v>35</v>
      </c>
      <c r="C32" s="28">
        <v>533.94000000000005</v>
      </c>
      <c r="D32">
        <v>8</v>
      </c>
      <c r="E32" s="28">
        <v>67.709999999999994</v>
      </c>
      <c r="F32">
        <v>30</v>
      </c>
      <c r="G32">
        <v>12.7</v>
      </c>
      <c r="H32">
        <v>4</v>
      </c>
      <c r="I32" t="s">
        <v>24</v>
      </c>
      <c r="J32">
        <v>12</v>
      </c>
      <c r="K32">
        <v>62</v>
      </c>
      <c r="L32">
        <v>9.5</v>
      </c>
      <c r="M32" t="s">
        <v>47</v>
      </c>
      <c r="N32" t="s">
        <v>43</v>
      </c>
      <c r="O32">
        <f t="shared" si="0"/>
        <v>4</v>
      </c>
      <c r="P32">
        <f t="shared" si="1"/>
        <v>5</v>
      </c>
      <c r="Q32">
        <f t="shared" si="2"/>
        <v>5</v>
      </c>
      <c r="R32" s="25" t="str">
        <f t="shared" si="3"/>
        <v>455</v>
      </c>
      <c r="S32" t="str" cm="1">
        <f t="array" ref="S32">_xlfn.IFS(AND(O32&gt;=4, P32&gt;=4, Q32&gt;=4), "Champions", AND(O32&gt;=3, P32&gt;=4), "Loyal Customers", AND(O32&gt;=4, P32&lt;=2), "New / Promising", AND(O32&lt;=2, P32&gt;=4), "At Risk Loyalists", AND(Q32&gt;=4, P32&lt;=3), "Big Spenders", AND(O32&lt;=2, P32&lt;=2), "Lost / Dormant", TRUE, "Regular Customers")</f>
        <v>Champions</v>
      </c>
      <c r="T32" s="38"/>
    </row>
    <row r="33" spans="1:20" x14ac:dyDescent="0.2">
      <c r="A33" t="s">
        <v>72</v>
      </c>
      <c r="B33" t="s">
        <v>37</v>
      </c>
      <c r="C33" s="28">
        <v>102.73</v>
      </c>
      <c r="D33">
        <v>2</v>
      </c>
      <c r="E33" s="28">
        <v>51.76</v>
      </c>
      <c r="F33">
        <v>51</v>
      </c>
      <c r="G33">
        <v>18.8</v>
      </c>
      <c r="H33">
        <v>4</v>
      </c>
      <c r="I33" t="s">
        <v>33</v>
      </c>
      <c r="J33">
        <v>0</v>
      </c>
      <c r="K33">
        <v>60.5</v>
      </c>
      <c r="L33">
        <v>14.2</v>
      </c>
      <c r="M33" t="s">
        <v>53</v>
      </c>
      <c r="N33" t="s">
        <v>45</v>
      </c>
      <c r="O33">
        <f t="shared" si="0"/>
        <v>2</v>
      </c>
      <c r="P33">
        <f t="shared" si="1"/>
        <v>1</v>
      </c>
      <c r="Q33">
        <f t="shared" si="2"/>
        <v>1</v>
      </c>
      <c r="R33" s="25" t="str">
        <f t="shared" si="3"/>
        <v>211</v>
      </c>
      <c r="S33" t="str" cm="1">
        <f t="array" ref="S33">_xlfn.IFS(AND(O33&gt;=4, P33&gt;=4, Q33&gt;=4), "Champions", AND(O33&gt;=3, P33&gt;=4), "Loyal Customers", AND(O33&gt;=4, P33&lt;=2), "New / Promising", AND(O33&lt;=2, P33&gt;=4), "At Risk Loyalists", AND(Q33&gt;=4, P33&lt;=3), "Big Spenders", AND(O33&lt;=2, P33&lt;=2), "Lost / Dormant", TRUE, "Regular Customers")</f>
        <v>Lost / Dormant</v>
      </c>
      <c r="T33" s="38"/>
    </row>
    <row r="34" spans="1:20" x14ac:dyDescent="0.2">
      <c r="A34" t="s">
        <v>73</v>
      </c>
      <c r="B34" t="s">
        <v>37</v>
      </c>
      <c r="C34" s="28">
        <v>139.46</v>
      </c>
      <c r="D34">
        <v>3</v>
      </c>
      <c r="E34" s="28">
        <v>47.31</v>
      </c>
      <c r="F34">
        <v>46</v>
      </c>
      <c r="G34">
        <v>29.1</v>
      </c>
      <c r="H34">
        <v>5</v>
      </c>
      <c r="I34" t="s">
        <v>24</v>
      </c>
      <c r="J34">
        <v>11</v>
      </c>
      <c r="K34">
        <v>64.2</v>
      </c>
      <c r="L34">
        <v>5.3</v>
      </c>
      <c r="M34" t="s">
        <v>39</v>
      </c>
      <c r="N34" t="s">
        <v>26</v>
      </c>
      <c r="O34">
        <f t="shared" si="0"/>
        <v>3</v>
      </c>
      <c r="P34">
        <f t="shared" si="1"/>
        <v>2</v>
      </c>
      <c r="Q34">
        <f t="shared" si="2"/>
        <v>2</v>
      </c>
      <c r="R34" s="25" t="str">
        <f t="shared" si="3"/>
        <v>322</v>
      </c>
      <c r="S34" t="str" cm="1">
        <f t="array" ref="S34">_xlfn.IFS(AND(O34&gt;=4, P34&gt;=4, Q34&gt;=4), "Champions", AND(O34&gt;=3, P34&gt;=4), "Loyal Customers", AND(O34&gt;=4, P34&lt;=2), "New / Promising", AND(O34&lt;=2, P34&gt;=4), "At Risk Loyalists", AND(Q34&gt;=4, P34&lt;=3), "Big Spenders", AND(O34&lt;=2, P34&lt;=2), "Lost / Dormant", TRUE, "Regular Customers")</f>
        <v>Regular Customers</v>
      </c>
      <c r="T34" s="38"/>
    </row>
    <row r="35" spans="1:20" x14ac:dyDescent="0.2">
      <c r="A35" t="s">
        <v>74</v>
      </c>
      <c r="B35" t="s">
        <v>28</v>
      </c>
      <c r="C35" s="28">
        <v>267.24</v>
      </c>
      <c r="D35">
        <v>6</v>
      </c>
      <c r="E35" s="28">
        <v>41.29</v>
      </c>
      <c r="F35">
        <v>23</v>
      </c>
      <c r="G35">
        <v>79</v>
      </c>
      <c r="H35">
        <v>4</v>
      </c>
      <c r="I35" t="s">
        <v>33</v>
      </c>
      <c r="J35">
        <v>0</v>
      </c>
      <c r="K35">
        <v>47.8</v>
      </c>
      <c r="L35">
        <v>14.4</v>
      </c>
      <c r="M35" t="s">
        <v>39</v>
      </c>
      <c r="N35" t="s">
        <v>26</v>
      </c>
      <c r="O35">
        <f t="shared" si="0"/>
        <v>4</v>
      </c>
      <c r="P35">
        <f t="shared" si="1"/>
        <v>4</v>
      </c>
      <c r="Q35">
        <f t="shared" si="2"/>
        <v>3</v>
      </c>
      <c r="R35" s="25" t="str">
        <f t="shared" si="3"/>
        <v>443</v>
      </c>
      <c r="S35" t="str" cm="1">
        <f t="array" ref="S35">_xlfn.IFS(AND(O35&gt;=4, P35&gt;=4, Q35&gt;=4), "Champions", AND(O35&gt;=3, P35&gt;=4), "Loyal Customers", AND(O35&gt;=4, P35&lt;=2), "New / Promising", AND(O35&lt;=2, P35&gt;=4), "At Risk Loyalists", AND(Q35&gt;=4, P35&lt;=3), "Big Spenders", AND(O35&lt;=2, P35&lt;=2), "Lost / Dormant", TRUE, "Regular Customers")</f>
        <v>Loyal Customers</v>
      </c>
      <c r="T35" s="38"/>
    </row>
    <row r="36" spans="1:20" x14ac:dyDescent="0.2">
      <c r="A36" t="s">
        <v>75</v>
      </c>
      <c r="B36" t="s">
        <v>28</v>
      </c>
      <c r="C36" s="28">
        <v>796.98</v>
      </c>
      <c r="D36">
        <v>9</v>
      </c>
      <c r="E36" s="28">
        <v>88.28</v>
      </c>
      <c r="F36">
        <v>21</v>
      </c>
      <c r="G36">
        <v>9.6999999999999993</v>
      </c>
      <c r="H36">
        <v>3</v>
      </c>
      <c r="I36" t="s">
        <v>24</v>
      </c>
      <c r="J36">
        <v>7</v>
      </c>
      <c r="K36">
        <v>49</v>
      </c>
      <c r="L36">
        <v>15</v>
      </c>
      <c r="M36" t="s">
        <v>25</v>
      </c>
      <c r="N36" t="s">
        <v>26</v>
      </c>
      <c r="O36">
        <f t="shared" si="0"/>
        <v>5</v>
      </c>
      <c r="P36">
        <f t="shared" si="1"/>
        <v>5</v>
      </c>
      <c r="Q36">
        <f t="shared" si="2"/>
        <v>5</v>
      </c>
      <c r="R36" s="25" t="str">
        <f t="shared" si="3"/>
        <v>555</v>
      </c>
      <c r="S36" t="str" cm="1">
        <f t="array" ref="S36">_xlfn.IFS(AND(O36&gt;=4, P36&gt;=4, Q36&gt;=4), "Champions", AND(O36&gt;=3, P36&gt;=4), "Loyal Customers", AND(O36&gt;=4, P36&lt;=2), "New / Promising", AND(O36&lt;=2, P36&gt;=4), "At Risk Loyalists", AND(Q36&gt;=4, P36&lt;=3), "Big Spenders", AND(O36&lt;=2, P36&lt;=2), "Lost / Dormant", TRUE, "Regular Customers")</f>
        <v>Champions</v>
      </c>
      <c r="T36" s="38"/>
    </row>
    <row r="37" spans="1:20" x14ac:dyDescent="0.2">
      <c r="A37" t="s">
        <v>76</v>
      </c>
      <c r="B37" t="s">
        <v>32</v>
      </c>
      <c r="C37" s="28">
        <v>183.86</v>
      </c>
      <c r="D37">
        <v>6</v>
      </c>
      <c r="E37" s="28">
        <v>29.55</v>
      </c>
      <c r="F37">
        <v>56</v>
      </c>
      <c r="G37">
        <v>52</v>
      </c>
      <c r="H37">
        <v>1</v>
      </c>
      <c r="I37" t="s">
        <v>33</v>
      </c>
      <c r="J37">
        <v>0</v>
      </c>
      <c r="K37">
        <v>41.7</v>
      </c>
      <c r="L37">
        <v>12.8</v>
      </c>
      <c r="M37" t="s">
        <v>39</v>
      </c>
      <c r="N37" t="s">
        <v>26</v>
      </c>
      <c r="O37">
        <f t="shared" si="0"/>
        <v>2</v>
      </c>
      <c r="P37">
        <f t="shared" si="1"/>
        <v>4</v>
      </c>
      <c r="Q37">
        <f t="shared" si="2"/>
        <v>2</v>
      </c>
      <c r="R37" s="25" t="str">
        <f t="shared" si="3"/>
        <v>242</v>
      </c>
      <c r="S37" t="str" cm="1">
        <f t="array" ref="S37">_xlfn.IFS(AND(O37&gt;=4, P37&gt;=4, Q37&gt;=4), "Champions", AND(O37&gt;=3, P37&gt;=4), "Loyal Customers", AND(O37&gt;=4, P37&lt;=2), "New / Promising", AND(O37&lt;=2, P37&gt;=4), "At Risk Loyalists", AND(Q37&gt;=4, P37&lt;=3), "Big Spenders", AND(O37&lt;=2, P37&lt;=2), "Lost / Dormant", TRUE, "Regular Customers")</f>
        <v>At Risk Loyalists</v>
      </c>
      <c r="T37" s="38"/>
    </row>
    <row r="38" spans="1:20" x14ac:dyDescent="0.2">
      <c r="A38" t="s">
        <v>77</v>
      </c>
      <c r="B38" t="s">
        <v>23</v>
      </c>
      <c r="C38" s="28">
        <v>708.78</v>
      </c>
      <c r="D38">
        <v>11</v>
      </c>
      <c r="E38" s="28">
        <v>64.95</v>
      </c>
      <c r="F38">
        <v>30</v>
      </c>
      <c r="G38">
        <v>11.7</v>
      </c>
      <c r="H38">
        <v>4</v>
      </c>
      <c r="I38" t="s">
        <v>24</v>
      </c>
      <c r="J38">
        <v>8</v>
      </c>
      <c r="K38">
        <v>63.6</v>
      </c>
      <c r="L38">
        <v>11.4</v>
      </c>
      <c r="M38" t="s">
        <v>39</v>
      </c>
      <c r="N38" t="s">
        <v>45</v>
      </c>
      <c r="O38">
        <f t="shared" si="0"/>
        <v>4</v>
      </c>
      <c r="P38">
        <f t="shared" si="1"/>
        <v>5</v>
      </c>
      <c r="Q38">
        <f t="shared" si="2"/>
        <v>5</v>
      </c>
      <c r="R38" s="25" t="str">
        <f t="shared" si="3"/>
        <v>455</v>
      </c>
      <c r="S38" t="str" cm="1">
        <f t="array" ref="S38">_xlfn.IFS(AND(O38&gt;=4, P38&gt;=4, Q38&gt;=4), "Champions", AND(O38&gt;=3, P38&gt;=4), "Loyal Customers", AND(O38&gt;=4, P38&lt;=2), "New / Promising", AND(O38&lt;=2, P38&gt;=4), "At Risk Loyalists", AND(Q38&gt;=4, P38&lt;=3), "Big Spenders", AND(O38&lt;=2, P38&lt;=2), "Lost / Dormant", TRUE, "Regular Customers")</f>
        <v>Champions</v>
      </c>
      <c r="T38" s="38"/>
    </row>
    <row r="39" spans="1:20" x14ac:dyDescent="0.2">
      <c r="A39" t="s">
        <v>78</v>
      </c>
      <c r="B39" t="s">
        <v>37</v>
      </c>
      <c r="C39" s="28">
        <v>242.61</v>
      </c>
      <c r="D39">
        <v>5</v>
      </c>
      <c r="E39" s="28">
        <v>51.38</v>
      </c>
      <c r="F39">
        <v>54</v>
      </c>
      <c r="G39">
        <v>38.4</v>
      </c>
      <c r="H39">
        <v>5</v>
      </c>
      <c r="I39" t="s">
        <v>33</v>
      </c>
      <c r="J39">
        <v>0</v>
      </c>
      <c r="K39">
        <v>42.7</v>
      </c>
      <c r="L39">
        <v>6</v>
      </c>
      <c r="M39" t="s">
        <v>29</v>
      </c>
      <c r="N39" t="s">
        <v>30</v>
      </c>
      <c r="O39">
        <f t="shared" si="0"/>
        <v>2</v>
      </c>
      <c r="P39">
        <f t="shared" si="1"/>
        <v>3</v>
      </c>
      <c r="Q39">
        <f t="shared" si="2"/>
        <v>3</v>
      </c>
      <c r="R39" s="25" t="str">
        <f t="shared" si="3"/>
        <v>233</v>
      </c>
      <c r="S39" t="str" cm="1">
        <f t="array" ref="S39">_xlfn.IFS(AND(O39&gt;=4, P39&gt;=4, Q39&gt;=4), "Champions", AND(O39&gt;=3, P39&gt;=4), "Loyal Customers", AND(O39&gt;=4, P39&lt;=2), "New / Promising", AND(O39&lt;=2, P39&gt;=4), "At Risk Loyalists", AND(Q39&gt;=4, P39&lt;=3), "Big Spenders", AND(O39&lt;=2, P39&lt;=2), "Lost / Dormant", TRUE, "Regular Customers")</f>
        <v>Regular Customers</v>
      </c>
      <c r="T39" s="38"/>
    </row>
    <row r="40" spans="1:20" x14ac:dyDescent="0.2">
      <c r="A40" t="s">
        <v>79</v>
      </c>
      <c r="B40" t="s">
        <v>35</v>
      </c>
      <c r="C40" s="28">
        <v>758.69</v>
      </c>
      <c r="D40">
        <v>10</v>
      </c>
      <c r="E40" s="28">
        <v>73.42</v>
      </c>
      <c r="F40">
        <v>28</v>
      </c>
      <c r="G40">
        <v>25.9</v>
      </c>
      <c r="H40">
        <v>4</v>
      </c>
      <c r="I40" t="s">
        <v>24</v>
      </c>
      <c r="J40">
        <v>10</v>
      </c>
      <c r="K40">
        <v>62</v>
      </c>
      <c r="L40">
        <v>18.899999999999999</v>
      </c>
      <c r="M40" t="s">
        <v>29</v>
      </c>
      <c r="N40" t="s">
        <v>43</v>
      </c>
      <c r="O40">
        <f t="shared" si="0"/>
        <v>4</v>
      </c>
      <c r="P40">
        <f t="shared" si="1"/>
        <v>5</v>
      </c>
      <c r="Q40">
        <f t="shared" si="2"/>
        <v>5</v>
      </c>
      <c r="R40" s="25" t="str">
        <f t="shared" si="3"/>
        <v>455</v>
      </c>
      <c r="S40" t="str" cm="1">
        <f t="array" ref="S40">_xlfn.IFS(AND(O40&gt;=4, P40&gt;=4, Q40&gt;=4), "Champions", AND(O40&gt;=3, P40&gt;=4), "Loyal Customers", AND(O40&gt;=4, P40&lt;=2), "New / Promising", AND(O40&lt;=2, P40&gt;=4), "At Risk Loyalists", AND(Q40&gt;=4, P40&lt;=3), "Big Spenders", AND(O40&lt;=2, P40&lt;=2), "Lost / Dormant", TRUE, "Regular Customers")</f>
        <v>Champions</v>
      </c>
      <c r="T40" s="38"/>
    </row>
    <row r="41" spans="1:20" x14ac:dyDescent="0.2">
      <c r="A41" t="s">
        <v>80</v>
      </c>
      <c r="B41" t="s">
        <v>58</v>
      </c>
      <c r="C41" s="28">
        <v>78.010000000000005</v>
      </c>
      <c r="D41">
        <v>2</v>
      </c>
      <c r="E41" s="28">
        <v>39.03</v>
      </c>
      <c r="F41">
        <v>162</v>
      </c>
      <c r="G41">
        <v>3.6</v>
      </c>
      <c r="H41">
        <v>1</v>
      </c>
      <c r="I41" t="s">
        <v>33</v>
      </c>
      <c r="J41">
        <v>0</v>
      </c>
      <c r="K41">
        <v>4.8</v>
      </c>
      <c r="L41">
        <v>7.5</v>
      </c>
      <c r="M41" t="s">
        <v>29</v>
      </c>
      <c r="N41" t="s">
        <v>26</v>
      </c>
      <c r="O41">
        <f t="shared" si="0"/>
        <v>1</v>
      </c>
      <c r="P41">
        <f t="shared" si="1"/>
        <v>1</v>
      </c>
      <c r="Q41">
        <f t="shared" si="2"/>
        <v>1</v>
      </c>
      <c r="R41" s="25" t="str">
        <f t="shared" si="3"/>
        <v>111</v>
      </c>
      <c r="S41" t="str" cm="1">
        <f t="array" ref="S41">_xlfn.IFS(AND(O41&gt;=4, P41&gt;=4, Q41&gt;=4), "Champions", AND(O41&gt;=3, P41&gt;=4), "Loyal Customers", AND(O41&gt;=4, P41&lt;=2), "New / Promising", AND(O41&lt;=2, P41&gt;=4), "At Risk Loyalists", AND(Q41&gt;=4, P41&lt;=3), "Big Spenders", AND(O41&lt;=2, P41&lt;=2), "Lost / Dormant", TRUE, "Regular Customers")</f>
        <v>Lost / Dormant</v>
      </c>
      <c r="T41" s="38"/>
    </row>
    <row r="42" spans="1:20" x14ac:dyDescent="0.2">
      <c r="A42" t="s">
        <v>81</v>
      </c>
      <c r="B42" t="s">
        <v>37</v>
      </c>
      <c r="C42" s="28">
        <v>247.93</v>
      </c>
      <c r="D42">
        <v>6</v>
      </c>
      <c r="E42" s="28">
        <v>42.65</v>
      </c>
      <c r="F42">
        <v>58</v>
      </c>
      <c r="G42">
        <v>46.8</v>
      </c>
      <c r="H42">
        <v>2</v>
      </c>
      <c r="I42" t="s">
        <v>33</v>
      </c>
      <c r="J42">
        <v>0</v>
      </c>
      <c r="K42">
        <v>43.7</v>
      </c>
      <c r="L42">
        <v>12.4</v>
      </c>
      <c r="M42" t="s">
        <v>25</v>
      </c>
      <c r="N42" t="s">
        <v>43</v>
      </c>
      <c r="O42">
        <f t="shared" si="0"/>
        <v>2</v>
      </c>
      <c r="P42">
        <f t="shared" si="1"/>
        <v>4</v>
      </c>
      <c r="Q42">
        <f t="shared" si="2"/>
        <v>3</v>
      </c>
      <c r="R42" s="25" t="str">
        <f t="shared" si="3"/>
        <v>243</v>
      </c>
      <c r="S42" t="str" cm="1">
        <f t="array" ref="S42">_xlfn.IFS(AND(O42&gt;=4, P42&gt;=4, Q42&gt;=4), "Champions", AND(O42&gt;=3, P42&gt;=4), "Loyal Customers", AND(O42&gt;=4, P42&lt;=2), "New / Promising", AND(O42&lt;=2, P42&gt;=4), "At Risk Loyalists", AND(Q42&gt;=4, P42&lt;=3), "Big Spenders", AND(O42&lt;=2, P42&lt;=2), "Lost / Dormant", TRUE, "Regular Customers")</f>
        <v>At Risk Loyalists</v>
      </c>
      <c r="T42" s="38"/>
    </row>
    <row r="43" spans="1:20" x14ac:dyDescent="0.2">
      <c r="A43" t="s">
        <v>82</v>
      </c>
      <c r="B43" t="s">
        <v>58</v>
      </c>
      <c r="C43" s="28">
        <v>97.18</v>
      </c>
      <c r="D43">
        <v>2</v>
      </c>
      <c r="E43" s="28">
        <v>45.93</v>
      </c>
      <c r="F43">
        <v>99</v>
      </c>
      <c r="G43">
        <v>27.4</v>
      </c>
      <c r="H43">
        <v>2</v>
      </c>
      <c r="I43" t="s">
        <v>33</v>
      </c>
      <c r="J43">
        <v>0</v>
      </c>
      <c r="K43">
        <v>21.9</v>
      </c>
      <c r="L43">
        <v>4.3</v>
      </c>
      <c r="M43" t="s">
        <v>29</v>
      </c>
      <c r="N43" t="s">
        <v>43</v>
      </c>
      <c r="O43">
        <f t="shared" si="0"/>
        <v>2</v>
      </c>
      <c r="P43">
        <f t="shared" si="1"/>
        <v>1</v>
      </c>
      <c r="Q43">
        <f t="shared" si="2"/>
        <v>1</v>
      </c>
      <c r="R43" s="25" t="str">
        <f t="shared" si="3"/>
        <v>211</v>
      </c>
      <c r="S43" t="str" cm="1">
        <f t="array" ref="S43">_xlfn.IFS(AND(O43&gt;=4, P43&gt;=4, Q43&gt;=4), "Champions", AND(O43&gt;=3, P43&gt;=4), "Loyal Customers", AND(O43&gt;=4, P43&lt;=2), "New / Promising", AND(O43&lt;=2, P43&gt;=4), "At Risk Loyalists", AND(Q43&gt;=4, P43&lt;=3), "Big Spenders", AND(O43&lt;=2, P43&lt;=2), "Lost / Dormant", TRUE, "Regular Customers")</f>
        <v>Lost / Dormant</v>
      </c>
      <c r="T43" s="38"/>
    </row>
    <row r="44" spans="1:20" x14ac:dyDescent="0.2">
      <c r="A44" t="s">
        <v>83</v>
      </c>
      <c r="B44" t="s">
        <v>37</v>
      </c>
      <c r="C44" s="28">
        <v>154.81</v>
      </c>
      <c r="D44">
        <v>3</v>
      </c>
      <c r="E44" s="28">
        <v>54.7</v>
      </c>
      <c r="F44">
        <v>202</v>
      </c>
      <c r="G44">
        <v>30.2</v>
      </c>
      <c r="H44">
        <v>2</v>
      </c>
      <c r="I44" t="s">
        <v>33</v>
      </c>
      <c r="J44">
        <v>0</v>
      </c>
      <c r="K44">
        <v>2</v>
      </c>
      <c r="L44">
        <v>5.2</v>
      </c>
      <c r="M44" t="s">
        <v>25</v>
      </c>
      <c r="N44" t="s">
        <v>43</v>
      </c>
      <c r="O44">
        <f t="shared" si="0"/>
        <v>1</v>
      </c>
      <c r="P44">
        <f t="shared" si="1"/>
        <v>2</v>
      </c>
      <c r="Q44">
        <f t="shared" si="2"/>
        <v>2</v>
      </c>
      <c r="R44" s="25" t="str">
        <f t="shared" si="3"/>
        <v>122</v>
      </c>
      <c r="S44" t="str" cm="1">
        <f t="array" ref="S44">_xlfn.IFS(AND(O44&gt;=4, P44&gt;=4, Q44&gt;=4), "Champions", AND(O44&gt;=3, P44&gt;=4), "Loyal Customers", AND(O44&gt;=4, P44&lt;=2), "New / Promising", AND(O44&lt;=2, P44&gt;=4), "At Risk Loyalists", AND(Q44&gt;=4, P44&lt;=3), "Big Spenders", AND(O44&lt;=2, P44&lt;=2), "Lost / Dormant", TRUE, "Regular Customers")</f>
        <v>Lost / Dormant</v>
      </c>
      <c r="T44" s="38"/>
    </row>
    <row r="45" spans="1:20" x14ac:dyDescent="0.2">
      <c r="A45" t="s">
        <v>84</v>
      </c>
      <c r="B45" t="s">
        <v>28</v>
      </c>
      <c r="C45" s="28">
        <v>158.29</v>
      </c>
      <c r="D45">
        <v>3</v>
      </c>
      <c r="E45" s="28">
        <v>56.32</v>
      </c>
      <c r="F45">
        <v>44</v>
      </c>
      <c r="G45">
        <v>26.6</v>
      </c>
      <c r="H45">
        <v>4</v>
      </c>
      <c r="I45" t="s">
        <v>24</v>
      </c>
      <c r="J45">
        <v>9</v>
      </c>
      <c r="K45">
        <v>19.100000000000001</v>
      </c>
      <c r="L45">
        <v>14.5</v>
      </c>
      <c r="M45" t="s">
        <v>29</v>
      </c>
      <c r="N45" t="s">
        <v>43</v>
      </c>
      <c r="O45">
        <f t="shared" si="0"/>
        <v>3</v>
      </c>
      <c r="P45">
        <f t="shared" si="1"/>
        <v>2</v>
      </c>
      <c r="Q45">
        <f t="shared" si="2"/>
        <v>2</v>
      </c>
      <c r="R45" s="25" t="str">
        <f t="shared" si="3"/>
        <v>322</v>
      </c>
      <c r="S45" t="str" cm="1">
        <f t="array" ref="S45">_xlfn.IFS(AND(O45&gt;=4, P45&gt;=4, Q45&gt;=4), "Champions", AND(O45&gt;=3, P45&gt;=4), "Loyal Customers", AND(O45&gt;=4, P45&lt;=2), "New / Promising", AND(O45&lt;=2, P45&gt;=4), "At Risk Loyalists", AND(Q45&gt;=4, P45&lt;=3), "Big Spenders", AND(O45&lt;=2, P45&lt;=2), "Lost / Dormant", TRUE, "Regular Customers")</f>
        <v>Regular Customers</v>
      </c>
      <c r="T45" s="38"/>
    </row>
    <row r="46" spans="1:20" x14ac:dyDescent="0.2">
      <c r="A46" t="s">
        <v>85</v>
      </c>
      <c r="B46" t="s">
        <v>23</v>
      </c>
      <c r="C46" s="28">
        <v>366.37</v>
      </c>
      <c r="D46">
        <v>5</v>
      </c>
      <c r="E46" s="28">
        <v>78</v>
      </c>
      <c r="F46">
        <v>38</v>
      </c>
      <c r="G46">
        <v>21.2</v>
      </c>
      <c r="H46">
        <v>3</v>
      </c>
      <c r="I46" t="s">
        <v>24</v>
      </c>
      <c r="J46">
        <v>17</v>
      </c>
      <c r="K46">
        <v>49.2</v>
      </c>
      <c r="L46">
        <v>13.9</v>
      </c>
      <c r="M46" t="s">
        <v>25</v>
      </c>
      <c r="N46" t="s">
        <v>43</v>
      </c>
      <c r="O46">
        <f t="shared" si="0"/>
        <v>3</v>
      </c>
      <c r="P46">
        <f t="shared" si="1"/>
        <v>3</v>
      </c>
      <c r="Q46">
        <f t="shared" si="2"/>
        <v>4</v>
      </c>
      <c r="R46" s="25" t="str">
        <f t="shared" si="3"/>
        <v>334</v>
      </c>
      <c r="S46" t="str" cm="1">
        <f t="array" ref="S46">_xlfn.IFS(AND(O46&gt;=4, P46&gt;=4, Q46&gt;=4), "Champions", AND(O46&gt;=3, P46&gt;=4), "Loyal Customers", AND(O46&gt;=4, P46&lt;=2), "New / Promising", AND(O46&lt;=2, P46&gt;=4), "At Risk Loyalists", AND(Q46&gt;=4, P46&lt;=3), "Big Spenders", AND(O46&lt;=2, P46&lt;=2), "Lost / Dormant", TRUE, "Regular Customers")</f>
        <v>Big Spenders</v>
      </c>
      <c r="T46" s="38"/>
    </row>
    <row r="47" spans="1:20" x14ac:dyDescent="0.2">
      <c r="A47" t="s">
        <v>86</v>
      </c>
      <c r="B47" t="s">
        <v>35</v>
      </c>
      <c r="C47" s="28">
        <v>422.06</v>
      </c>
      <c r="D47">
        <v>6</v>
      </c>
      <c r="E47" s="28">
        <v>68.98</v>
      </c>
      <c r="F47">
        <v>26</v>
      </c>
      <c r="G47">
        <v>9.6999999999999993</v>
      </c>
      <c r="H47">
        <v>4</v>
      </c>
      <c r="I47" t="s">
        <v>33</v>
      </c>
      <c r="J47">
        <v>0</v>
      </c>
      <c r="K47">
        <v>56</v>
      </c>
      <c r="L47">
        <v>8.3000000000000007</v>
      </c>
      <c r="M47" t="s">
        <v>53</v>
      </c>
      <c r="N47" t="s">
        <v>30</v>
      </c>
      <c r="O47">
        <f t="shared" si="0"/>
        <v>4</v>
      </c>
      <c r="P47">
        <f t="shared" si="1"/>
        <v>4</v>
      </c>
      <c r="Q47">
        <f t="shared" si="2"/>
        <v>4</v>
      </c>
      <c r="R47" s="25" t="str">
        <f t="shared" si="3"/>
        <v>444</v>
      </c>
      <c r="S47" t="str" cm="1">
        <f t="array" ref="S47">_xlfn.IFS(AND(O47&gt;=4, P47&gt;=4, Q47&gt;=4), "Champions", AND(O47&gt;=3, P47&gt;=4), "Loyal Customers", AND(O47&gt;=4, P47&lt;=2), "New / Promising", AND(O47&lt;=2, P47&gt;=4), "At Risk Loyalists", AND(Q47&gt;=4, P47&lt;=3), "Big Spenders", AND(O47&lt;=2, P47&lt;=2), "Lost / Dormant", TRUE, "Regular Customers")</f>
        <v>Champions</v>
      </c>
      <c r="T47" s="38"/>
    </row>
    <row r="48" spans="1:20" x14ac:dyDescent="0.2">
      <c r="A48" t="s">
        <v>87</v>
      </c>
      <c r="B48" t="s">
        <v>23</v>
      </c>
      <c r="C48" s="28">
        <v>385.43</v>
      </c>
      <c r="D48">
        <v>9</v>
      </c>
      <c r="E48" s="28">
        <v>46.46</v>
      </c>
      <c r="F48">
        <v>7</v>
      </c>
      <c r="G48">
        <v>17.600000000000001</v>
      </c>
      <c r="H48">
        <v>3</v>
      </c>
      <c r="I48" t="s">
        <v>24</v>
      </c>
      <c r="J48">
        <v>16</v>
      </c>
      <c r="K48">
        <v>52.2</v>
      </c>
      <c r="L48">
        <v>20.399999999999999</v>
      </c>
      <c r="M48" t="s">
        <v>47</v>
      </c>
      <c r="N48" t="s">
        <v>30</v>
      </c>
      <c r="O48">
        <f t="shared" si="0"/>
        <v>5</v>
      </c>
      <c r="P48">
        <f t="shared" si="1"/>
        <v>5</v>
      </c>
      <c r="Q48">
        <f t="shared" si="2"/>
        <v>4</v>
      </c>
      <c r="R48" s="25" t="str">
        <f t="shared" si="3"/>
        <v>554</v>
      </c>
      <c r="S48" t="str" cm="1">
        <f t="array" ref="S48">_xlfn.IFS(AND(O48&gt;=4, P48&gt;=4, Q48&gt;=4), "Champions", AND(O48&gt;=3, P48&gt;=4), "Loyal Customers", AND(O48&gt;=4, P48&lt;=2), "New / Promising", AND(O48&lt;=2, P48&gt;=4), "At Risk Loyalists", AND(Q48&gt;=4, P48&lt;=3), "Big Spenders", AND(O48&lt;=2, P48&lt;=2), "Lost / Dormant", TRUE, "Regular Customers")</f>
        <v>Champions</v>
      </c>
      <c r="T48" s="38"/>
    </row>
    <row r="49" spans="1:20" x14ac:dyDescent="0.2">
      <c r="A49" t="s">
        <v>88</v>
      </c>
      <c r="B49" t="s">
        <v>58</v>
      </c>
      <c r="C49" s="28">
        <v>319.3</v>
      </c>
      <c r="D49">
        <v>6</v>
      </c>
      <c r="E49" s="28">
        <v>52.81</v>
      </c>
      <c r="F49">
        <v>25</v>
      </c>
      <c r="G49">
        <v>0.1</v>
      </c>
      <c r="H49">
        <v>5</v>
      </c>
      <c r="I49" t="s">
        <v>33</v>
      </c>
      <c r="J49">
        <v>0</v>
      </c>
      <c r="K49">
        <v>38.1</v>
      </c>
      <c r="L49">
        <v>12.8</v>
      </c>
      <c r="M49" t="s">
        <v>47</v>
      </c>
      <c r="N49" t="s">
        <v>26</v>
      </c>
      <c r="O49">
        <f t="shared" si="0"/>
        <v>4</v>
      </c>
      <c r="P49">
        <f t="shared" si="1"/>
        <v>4</v>
      </c>
      <c r="Q49">
        <f t="shared" si="2"/>
        <v>4</v>
      </c>
      <c r="R49" s="25" t="str">
        <f t="shared" si="3"/>
        <v>444</v>
      </c>
      <c r="S49" t="str" cm="1">
        <f t="array" ref="S49">_xlfn.IFS(AND(O49&gt;=4, P49&gt;=4, Q49&gt;=4), "Champions", AND(O49&gt;=3, P49&gt;=4), "Loyal Customers", AND(O49&gt;=4, P49&lt;=2), "New / Promising", AND(O49&lt;=2, P49&gt;=4), "At Risk Loyalists", AND(Q49&gt;=4, P49&lt;=3), "Big Spenders", AND(O49&lt;=2, P49&lt;=2), "Lost / Dormant", TRUE, "Regular Customers")</f>
        <v>Champions</v>
      </c>
      <c r="T49" s="38"/>
    </row>
    <row r="50" spans="1:20" x14ac:dyDescent="0.2">
      <c r="A50" t="s">
        <v>89</v>
      </c>
      <c r="B50" t="s">
        <v>58</v>
      </c>
      <c r="C50" s="28">
        <v>389.33</v>
      </c>
      <c r="D50">
        <v>7</v>
      </c>
      <c r="E50" s="28">
        <v>56.57</v>
      </c>
      <c r="F50">
        <v>18</v>
      </c>
      <c r="G50">
        <v>25.7</v>
      </c>
      <c r="H50">
        <v>4</v>
      </c>
      <c r="I50" t="s">
        <v>33</v>
      </c>
      <c r="J50">
        <v>0</v>
      </c>
      <c r="K50">
        <v>39.200000000000003</v>
      </c>
      <c r="L50">
        <v>1.5</v>
      </c>
      <c r="M50" t="s">
        <v>47</v>
      </c>
      <c r="N50" t="s">
        <v>43</v>
      </c>
      <c r="O50">
        <f t="shared" si="0"/>
        <v>5</v>
      </c>
      <c r="P50">
        <f t="shared" si="1"/>
        <v>5</v>
      </c>
      <c r="Q50">
        <f t="shared" si="2"/>
        <v>4</v>
      </c>
      <c r="R50" s="25" t="str">
        <f t="shared" si="3"/>
        <v>554</v>
      </c>
      <c r="S50" t="str" cm="1">
        <f t="array" ref="S50">_xlfn.IFS(AND(O50&gt;=4, P50&gt;=4, Q50&gt;=4), "Champions", AND(O50&gt;=3, P50&gt;=4), "Loyal Customers", AND(O50&gt;=4, P50&lt;=2), "New / Promising", AND(O50&lt;=2, P50&gt;=4), "At Risk Loyalists", AND(Q50&gt;=4, P50&lt;=3), "Big Spenders", AND(O50&lt;=2, P50&lt;=2), "Lost / Dormant", TRUE, "Regular Customers")</f>
        <v>Champions</v>
      </c>
      <c r="T50" s="38"/>
    </row>
    <row r="51" spans="1:20" x14ac:dyDescent="0.2">
      <c r="A51" t="s">
        <v>90</v>
      </c>
      <c r="B51" t="s">
        <v>37</v>
      </c>
      <c r="C51" s="28">
        <v>153.22999999999999</v>
      </c>
      <c r="D51">
        <v>2</v>
      </c>
      <c r="E51" s="28">
        <v>72.650000000000006</v>
      </c>
      <c r="F51">
        <v>109</v>
      </c>
      <c r="G51">
        <v>19.899999999999999</v>
      </c>
      <c r="H51">
        <v>3</v>
      </c>
      <c r="I51" t="s">
        <v>33</v>
      </c>
      <c r="J51">
        <v>0</v>
      </c>
      <c r="K51">
        <v>9.1999999999999993</v>
      </c>
      <c r="L51">
        <v>3.8</v>
      </c>
      <c r="M51" t="s">
        <v>39</v>
      </c>
      <c r="N51" t="s">
        <v>30</v>
      </c>
      <c r="O51">
        <f t="shared" si="0"/>
        <v>1</v>
      </c>
      <c r="P51">
        <f t="shared" si="1"/>
        <v>1</v>
      </c>
      <c r="Q51">
        <f t="shared" si="2"/>
        <v>2</v>
      </c>
      <c r="R51" s="25" t="str">
        <f t="shared" si="3"/>
        <v>112</v>
      </c>
      <c r="S51" t="str" cm="1">
        <f t="array" ref="S51">_xlfn.IFS(AND(O51&gt;=4, P51&gt;=4, Q51&gt;=4), "Champions", AND(O51&gt;=3, P51&gt;=4), "Loyal Customers", AND(O51&gt;=4, P51&lt;=2), "New / Promising", AND(O51&lt;=2, P51&gt;=4), "At Risk Loyalists", AND(Q51&gt;=4, P51&lt;=3), "Big Spenders", AND(O51&lt;=2, P51&lt;=2), "Lost / Dormant", TRUE, "Regular Customers")</f>
        <v>Lost / Dormant</v>
      </c>
      <c r="T51" s="38"/>
    </row>
    <row r="52" spans="1:20" x14ac:dyDescent="0.2">
      <c r="A52" t="s">
        <v>91</v>
      </c>
      <c r="B52" t="s">
        <v>28</v>
      </c>
      <c r="C52" s="28">
        <v>247.72</v>
      </c>
      <c r="D52">
        <v>5</v>
      </c>
      <c r="E52" s="28">
        <v>47.73</v>
      </c>
      <c r="F52">
        <v>153</v>
      </c>
      <c r="G52">
        <v>29.4</v>
      </c>
      <c r="H52">
        <v>3</v>
      </c>
      <c r="I52" t="s">
        <v>24</v>
      </c>
      <c r="J52">
        <v>6</v>
      </c>
      <c r="K52">
        <v>12.5</v>
      </c>
      <c r="L52">
        <v>5.2</v>
      </c>
      <c r="M52" t="s">
        <v>25</v>
      </c>
      <c r="N52" t="s">
        <v>30</v>
      </c>
      <c r="O52">
        <f t="shared" si="0"/>
        <v>1</v>
      </c>
      <c r="P52">
        <f t="shared" si="1"/>
        <v>3</v>
      </c>
      <c r="Q52">
        <f t="shared" si="2"/>
        <v>3</v>
      </c>
      <c r="R52" s="25" t="str">
        <f t="shared" si="3"/>
        <v>133</v>
      </c>
      <c r="S52" t="str" cm="1">
        <f t="array" ref="S52">_xlfn.IFS(AND(O52&gt;=4, P52&gt;=4, Q52&gt;=4), "Champions", AND(O52&gt;=3, P52&gt;=4), "Loyal Customers", AND(O52&gt;=4, P52&lt;=2), "New / Promising", AND(O52&lt;=2, P52&gt;=4), "At Risk Loyalists", AND(Q52&gt;=4, P52&lt;=3), "Big Spenders", AND(O52&lt;=2, P52&lt;=2), "Lost / Dormant", TRUE, "Regular Customers")</f>
        <v>Regular Customers</v>
      </c>
      <c r="T52" s="38"/>
    </row>
    <row r="53" spans="1:20" x14ac:dyDescent="0.2">
      <c r="A53" t="s">
        <v>92</v>
      </c>
      <c r="B53" t="s">
        <v>32</v>
      </c>
      <c r="C53" s="28">
        <v>268.93</v>
      </c>
      <c r="D53">
        <v>5</v>
      </c>
      <c r="E53" s="28">
        <v>56.64</v>
      </c>
      <c r="F53">
        <v>148</v>
      </c>
      <c r="G53">
        <v>18.3</v>
      </c>
      <c r="H53">
        <v>1</v>
      </c>
      <c r="I53" t="s">
        <v>33</v>
      </c>
      <c r="J53">
        <v>0</v>
      </c>
      <c r="K53">
        <v>14.2</v>
      </c>
      <c r="L53">
        <v>7</v>
      </c>
      <c r="M53" t="s">
        <v>39</v>
      </c>
      <c r="N53" t="s">
        <v>45</v>
      </c>
      <c r="O53">
        <f t="shared" si="0"/>
        <v>1</v>
      </c>
      <c r="P53">
        <f t="shared" si="1"/>
        <v>3</v>
      </c>
      <c r="Q53">
        <f t="shared" si="2"/>
        <v>3</v>
      </c>
      <c r="R53" s="25" t="str">
        <f t="shared" si="3"/>
        <v>133</v>
      </c>
      <c r="S53" t="str" cm="1">
        <f t="array" ref="S53">_xlfn.IFS(AND(O53&gt;=4, P53&gt;=4, Q53&gt;=4), "Champions", AND(O53&gt;=3, P53&gt;=4), "Loyal Customers", AND(O53&gt;=4, P53&lt;=2), "New / Promising", AND(O53&lt;=2, P53&gt;=4), "At Risk Loyalists", AND(Q53&gt;=4, P53&lt;=3), "Big Spenders", AND(O53&lt;=2, P53&lt;=2), "Lost / Dormant", TRUE, "Regular Customers")</f>
        <v>Regular Customers</v>
      </c>
      <c r="T53" s="38"/>
    </row>
    <row r="54" spans="1:20" x14ac:dyDescent="0.2">
      <c r="A54" t="s">
        <v>93</v>
      </c>
      <c r="B54" t="s">
        <v>28</v>
      </c>
      <c r="C54" s="28">
        <v>875.42</v>
      </c>
      <c r="D54">
        <v>10</v>
      </c>
      <c r="E54" s="28">
        <v>83.86</v>
      </c>
      <c r="F54">
        <v>35</v>
      </c>
      <c r="G54">
        <v>16.3</v>
      </c>
      <c r="H54">
        <v>3</v>
      </c>
      <c r="I54" t="s">
        <v>24</v>
      </c>
      <c r="J54">
        <v>6</v>
      </c>
      <c r="K54">
        <v>50</v>
      </c>
      <c r="L54">
        <v>17.399999999999999</v>
      </c>
      <c r="M54" t="s">
        <v>47</v>
      </c>
      <c r="N54" t="s">
        <v>30</v>
      </c>
      <c r="O54">
        <f t="shared" si="0"/>
        <v>3</v>
      </c>
      <c r="P54">
        <f t="shared" si="1"/>
        <v>5</v>
      </c>
      <c r="Q54">
        <f t="shared" si="2"/>
        <v>5</v>
      </c>
      <c r="R54" s="25" t="str">
        <f t="shared" si="3"/>
        <v>355</v>
      </c>
      <c r="S54" t="str" cm="1">
        <f t="array" ref="S54">_xlfn.IFS(AND(O54&gt;=4, P54&gt;=4, Q54&gt;=4), "Champions", AND(O54&gt;=3, P54&gt;=4), "Loyal Customers", AND(O54&gt;=4, P54&lt;=2), "New / Promising", AND(O54&lt;=2, P54&gt;=4), "At Risk Loyalists", AND(Q54&gt;=4, P54&lt;=3), "Big Spenders", AND(O54&lt;=2, P54&lt;=2), "Lost / Dormant", TRUE, "Regular Customers")</f>
        <v>Loyal Customers</v>
      </c>
      <c r="T54" s="38"/>
    </row>
    <row r="55" spans="1:20" x14ac:dyDescent="0.2">
      <c r="A55" t="s">
        <v>94</v>
      </c>
      <c r="B55" t="s">
        <v>32</v>
      </c>
      <c r="C55" s="28">
        <v>193.7</v>
      </c>
      <c r="D55">
        <v>3</v>
      </c>
      <c r="E55" s="28">
        <v>62.1</v>
      </c>
      <c r="F55">
        <v>23</v>
      </c>
      <c r="G55">
        <v>47.7</v>
      </c>
      <c r="H55">
        <v>5</v>
      </c>
      <c r="I55" t="s">
        <v>33</v>
      </c>
      <c r="J55">
        <v>0</v>
      </c>
      <c r="K55">
        <v>62.6</v>
      </c>
      <c r="L55">
        <v>22</v>
      </c>
      <c r="M55" t="s">
        <v>47</v>
      </c>
      <c r="N55" t="s">
        <v>43</v>
      </c>
      <c r="O55">
        <f t="shared" si="0"/>
        <v>4</v>
      </c>
      <c r="P55">
        <f t="shared" si="1"/>
        <v>2</v>
      </c>
      <c r="Q55">
        <f t="shared" si="2"/>
        <v>2</v>
      </c>
      <c r="R55" s="25" t="str">
        <f t="shared" si="3"/>
        <v>422</v>
      </c>
      <c r="S55" t="str" cm="1">
        <f t="array" ref="S55">_xlfn.IFS(AND(O55&gt;=4, P55&gt;=4, Q55&gt;=4), "Champions", AND(O55&gt;=3, P55&gt;=4), "Loyal Customers", AND(O55&gt;=4, P55&lt;=2), "New / Promising", AND(O55&lt;=2, P55&gt;=4), "At Risk Loyalists", AND(Q55&gt;=4, P55&lt;=3), "Big Spenders", AND(O55&lt;=2, P55&lt;=2), "Lost / Dormant", TRUE, "Regular Customers")</f>
        <v>New / Promising</v>
      </c>
      <c r="T55" s="38"/>
    </row>
    <row r="56" spans="1:20" x14ac:dyDescent="0.2">
      <c r="A56" t="s">
        <v>95</v>
      </c>
      <c r="B56" t="s">
        <v>35</v>
      </c>
      <c r="C56" s="28">
        <v>339.37</v>
      </c>
      <c r="D56">
        <v>7</v>
      </c>
      <c r="E56" s="28">
        <v>50.58</v>
      </c>
      <c r="F56">
        <v>23</v>
      </c>
      <c r="G56">
        <v>43.6</v>
      </c>
      <c r="H56">
        <v>1</v>
      </c>
      <c r="I56" t="s">
        <v>33</v>
      </c>
      <c r="J56">
        <v>0</v>
      </c>
      <c r="K56">
        <v>18.3</v>
      </c>
      <c r="L56">
        <v>12.3</v>
      </c>
      <c r="M56" t="s">
        <v>39</v>
      </c>
      <c r="N56" t="s">
        <v>26</v>
      </c>
      <c r="O56">
        <f t="shared" si="0"/>
        <v>4</v>
      </c>
      <c r="P56">
        <f t="shared" si="1"/>
        <v>5</v>
      </c>
      <c r="Q56">
        <f t="shared" si="2"/>
        <v>4</v>
      </c>
      <c r="R56" s="25" t="str">
        <f t="shared" si="3"/>
        <v>454</v>
      </c>
      <c r="S56" t="str" cm="1">
        <f t="array" ref="S56">_xlfn.IFS(AND(O56&gt;=4, P56&gt;=4, Q56&gt;=4), "Champions", AND(O56&gt;=3, P56&gt;=4), "Loyal Customers", AND(O56&gt;=4, P56&lt;=2), "New / Promising", AND(O56&lt;=2, P56&gt;=4), "At Risk Loyalists", AND(Q56&gt;=4, P56&lt;=3), "Big Spenders", AND(O56&lt;=2, P56&lt;=2), "Lost / Dormant", TRUE, "Regular Customers")</f>
        <v>Champions</v>
      </c>
      <c r="T56" s="38"/>
    </row>
    <row r="57" spans="1:20" x14ac:dyDescent="0.2">
      <c r="A57" t="s">
        <v>96</v>
      </c>
      <c r="B57" t="s">
        <v>28</v>
      </c>
      <c r="C57" s="28">
        <v>254.76</v>
      </c>
      <c r="D57">
        <v>6</v>
      </c>
      <c r="E57" s="28">
        <v>40.229999999999997</v>
      </c>
      <c r="F57">
        <v>46</v>
      </c>
      <c r="G57">
        <v>44.7</v>
      </c>
      <c r="H57">
        <v>3</v>
      </c>
      <c r="I57" t="s">
        <v>33</v>
      </c>
      <c r="J57">
        <v>0</v>
      </c>
      <c r="K57">
        <v>41</v>
      </c>
      <c r="L57">
        <v>11.1</v>
      </c>
      <c r="M57" t="s">
        <v>25</v>
      </c>
      <c r="N57" t="s">
        <v>30</v>
      </c>
      <c r="O57">
        <f t="shared" si="0"/>
        <v>3</v>
      </c>
      <c r="P57">
        <f t="shared" si="1"/>
        <v>4</v>
      </c>
      <c r="Q57">
        <f t="shared" si="2"/>
        <v>3</v>
      </c>
      <c r="R57" s="25" t="str">
        <f t="shared" si="3"/>
        <v>343</v>
      </c>
      <c r="S57" t="str" cm="1">
        <f t="array" ref="S57">_xlfn.IFS(AND(O57&gt;=4, P57&gt;=4, Q57&gt;=4), "Champions", AND(O57&gt;=3, P57&gt;=4), "Loyal Customers", AND(O57&gt;=4, P57&lt;=2), "New / Promising", AND(O57&lt;=2, P57&gt;=4), "At Risk Loyalists", AND(Q57&gt;=4, P57&lt;=3), "Big Spenders", AND(O57&lt;=2, P57&lt;=2), "Lost / Dormant", TRUE, "Regular Customers")</f>
        <v>Loyal Customers</v>
      </c>
      <c r="T57" s="38"/>
    </row>
    <row r="58" spans="1:20" x14ac:dyDescent="0.2">
      <c r="A58" t="s">
        <v>97</v>
      </c>
      <c r="B58" t="s">
        <v>37</v>
      </c>
      <c r="C58" s="28">
        <v>222.9</v>
      </c>
      <c r="D58">
        <v>5</v>
      </c>
      <c r="E58" s="28">
        <v>44.26</v>
      </c>
      <c r="F58">
        <v>72</v>
      </c>
      <c r="G58">
        <v>45</v>
      </c>
      <c r="H58">
        <v>3</v>
      </c>
      <c r="I58" t="s">
        <v>33</v>
      </c>
      <c r="J58">
        <v>0</v>
      </c>
      <c r="K58">
        <v>45.3</v>
      </c>
      <c r="L58">
        <v>5.8</v>
      </c>
      <c r="M58" t="s">
        <v>29</v>
      </c>
      <c r="N58" t="s">
        <v>26</v>
      </c>
      <c r="O58">
        <f t="shared" si="0"/>
        <v>2</v>
      </c>
      <c r="P58">
        <f t="shared" si="1"/>
        <v>3</v>
      </c>
      <c r="Q58">
        <f t="shared" si="2"/>
        <v>3</v>
      </c>
      <c r="R58" s="25" t="str">
        <f t="shared" si="3"/>
        <v>233</v>
      </c>
      <c r="S58" t="str" cm="1">
        <f t="array" ref="S58">_xlfn.IFS(AND(O58&gt;=4, P58&gt;=4, Q58&gt;=4), "Champions", AND(O58&gt;=3, P58&gt;=4), "Loyal Customers", AND(O58&gt;=4, P58&lt;=2), "New / Promising", AND(O58&lt;=2, P58&gt;=4), "At Risk Loyalists", AND(Q58&gt;=4, P58&lt;=3), "Big Spenders", AND(O58&lt;=2, P58&lt;=2), "Lost / Dormant", TRUE, "Regular Customers")</f>
        <v>Regular Customers</v>
      </c>
      <c r="T58" s="38"/>
    </row>
    <row r="59" spans="1:20" x14ac:dyDescent="0.2">
      <c r="A59" t="s">
        <v>98</v>
      </c>
      <c r="B59" t="s">
        <v>37</v>
      </c>
      <c r="C59" s="28">
        <v>684.89</v>
      </c>
      <c r="D59">
        <v>9</v>
      </c>
      <c r="E59" s="28">
        <v>76</v>
      </c>
      <c r="F59">
        <v>17</v>
      </c>
      <c r="G59">
        <v>8.1</v>
      </c>
      <c r="H59">
        <v>4</v>
      </c>
      <c r="I59" t="s">
        <v>24</v>
      </c>
      <c r="J59">
        <v>13</v>
      </c>
      <c r="K59">
        <v>64.7</v>
      </c>
      <c r="L59">
        <v>27.5</v>
      </c>
      <c r="M59" t="s">
        <v>29</v>
      </c>
      <c r="N59" t="s">
        <v>30</v>
      </c>
      <c r="O59">
        <f t="shared" si="0"/>
        <v>5</v>
      </c>
      <c r="P59">
        <f t="shared" si="1"/>
        <v>5</v>
      </c>
      <c r="Q59">
        <f t="shared" si="2"/>
        <v>5</v>
      </c>
      <c r="R59" s="25" t="str">
        <f t="shared" si="3"/>
        <v>555</v>
      </c>
      <c r="S59" t="str" cm="1">
        <f t="array" ref="S59">_xlfn.IFS(AND(O59&gt;=4, P59&gt;=4, Q59&gt;=4), "Champions", AND(O59&gt;=3, P59&gt;=4), "Loyal Customers", AND(O59&gt;=4, P59&lt;=2), "New / Promising", AND(O59&lt;=2, P59&gt;=4), "At Risk Loyalists", AND(Q59&gt;=4, P59&lt;=3), "Big Spenders", AND(O59&lt;=2, P59&lt;=2), "Lost / Dormant", TRUE, "Regular Customers")</f>
        <v>Champions</v>
      </c>
      <c r="T59" s="38"/>
    </row>
    <row r="60" spans="1:20" x14ac:dyDescent="0.2">
      <c r="A60" t="s">
        <v>99</v>
      </c>
      <c r="B60" t="s">
        <v>37</v>
      </c>
      <c r="C60" s="28">
        <v>745.08</v>
      </c>
      <c r="D60">
        <v>10</v>
      </c>
      <c r="E60" s="28">
        <v>77.66</v>
      </c>
      <c r="F60">
        <v>33</v>
      </c>
      <c r="G60">
        <v>1.4</v>
      </c>
      <c r="H60">
        <v>4</v>
      </c>
      <c r="I60" t="s">
        <v>24</v>
      </c>
      <c r="J60">
        <v>9</v>
      </c>
      <c r="K60">
        <v>61.7</v>
      </c>
      <c r="L60">
        <v>14.7</v>
      </c>
      <c r="M60" t="s">
        <v>47</v>
      </c>
      <c r="N60" t="s">
        <v>40</v>
      </c>
      <c r="O60">
        <f t="shared" si="0"/>
        <v>3</v>
      </c>
      <c r="P60">
        <f t="shared" si="1"/>
        <v>5</v>
      </c>
      <c r="Q60">
        <f t="shared" si="2"/>
        <v>5</v>
      </c>
      <c r="R60" s="25" t="str">
        <f t="shared" si="3"/>
        <v>355</v>
      </c>
      <c r="S60" t="str" cm="1">
        <f t="array" ref="S60">_xlfn.IFS(AND(O60&gt;=4, P60&gt;=4, Q60&gt;=4), "Champions", AND(O60&gt;=3, P60&gt;=4), "Loyal Customers", AND(O60&gt;=4, P60&lt;=2), "New / Promising", AND(O60&lt;=2, P60&gt;=4), "At Risk Loyalists", AND(Q60&gt;=4, P60&lt;=3), "Big Spenders", AND(O60&lt;=2, P60&lt;=2), "Lost / Dormant", TRUE, "Regular Customers")</f>
        <v>Loyal Customers</v>
      </c>
      <c r="T60" s="38"/>
    </row>
    <row r="61" spans="1:20" x14ac:dyDescent="0.2">
      <c r="A61" t="s">
        <v>100</v>
      </c>
      <c r="B61" t="s">
        <v>23</v>
      </c>
      <c r="C61" s="28">
        <v>99.74</v>
      </c>
      <c r="D61">
        <v>2</v>
      </c>
      <c r="E61" s="28">
        <v>52.49</v>
      </c>
      <c r="F61">
        <v>113</v>
      </c>
      <c r="G61">
        <v>13.5</v>
      </c>
      <c r="H61">
        <v>2</v>
      </c>
      <c r="I61" t="s">
        <v>33</v>
      </c>
      <c r="J61">
        <v>0</v>
      </c>
      <c r="K61">
        <v>27.8</v>
      </c>
      <c r="L61">
        <v>9.3000000000000007</v>
      </c>
      <c r="M61" t="s">
        <v>39</v>
      </c>
      <c r="N61" t="s">
        <v>30</v>
      </c>
      <c r="O61">
        <f t="shared" si="0"/>
        <v>1</v>
      </c>
      <c r="P61">
        <f t="shared" si="1"/>
        <v>1</v>
      </c>
      <c r="Q61">
        <f t="shared" si="2"/>
        <v>1</v>
      </c>
      <c r="R61" s="25" t="str">
        <f t="shared" si="3"/>
        <v>111</v>
      </c>
      <c r="S61" t="str" cm="1">
        <f t="array" ref="S61">_xlfn.IFS(AND(O61&gt;=4, P61&gt;=4, Q61&gt;=4), "Champions", AND(O61&gt;=3, P61&gt;=4), "Loyal Customers", AND(O61&gt;=4, P61&lt;=2), "New / Promising", AND(O61&lt;=2, P61&gt;=4), "At Risk Loyalists", AND(Q61&gt;=4, P61&lt;=3), "Big Spenders", AND(O61&lt;=2, P61&lt;=2), "Lost / Dormant", TRUE, "Regular Customers")</f>
        <v>Lost / Dormant</v>
      </c>
      <c r="T61" s="38"/>
    </row>
    <row r="62" spans="1:20" x14ac:dyDescent="0.2">
      <c r="A62" t="s">
        <v>101</v>
      </c>
      <c r="B62" t="s">
        <v>23</v>
      </c>
      <c r="C62" s="28">
        <v>622</v>
      </c>
      <c r="D62">
        <v>10</v>
      </c>
      <c r="E62" s="28">
        <v>65.900000000000006</v>
      </c>
      <c r="F62">
        <v>24</v>
      </c>
      <c r="G62">
        <v>11.2</v>
      </c>
      <c r="H62">
        <v>3</v>
      </c>
      <c r="I62" t="s">
        <v>33</v>
      </c>
      <c r="J62">
        <v>0</v>
      </c>
      <c r="K62">
        <v>63.8</v>
      </c>
      <c r="L62">
        <v>8.8000000000000007</v>
      </c>
      <c r="M62" t="s">
        <v>29</v>
      </c>
      <c r="N62" t="s">
        <v>43</v>
      </c>
      <c r="O62">
        <f t="shared" si="0"/>
        <v>4</v>
      </c>
      <c r="P62">
        <f t="shared" si="1"/>
        <v>5</v>
      </c>
      <c r="Q62">
        <f t="shared" si="2"/>
        <v>5</v>
      </c>
      <c r="R62" s="25" t="str">
        <f t="shared" si="3"/>
        <v>455</v>
      </c>
      <c r="S62" t="str" cm="1">
        <f t="array" ref="S62">_xlfn.IFS(AND(O62&gt;=4, P62&gt;=4, Q62&gt;=4), "Champions", AND(O62&gt;=3, P62&gt;=4), "Loyal Customers", AND(O62&gt;=4, P62&lt;=2), "New / Promising", AND(O62&lt;=2, P62&gt;=4), "At Risk Loyalists", AND(Q62&gt;=4, P62&lt;=3), "Big Spenders", AND(O62&lt;=2, P62&lt;=2), "Lost / Dormant", TRUE, "Regular Customers")</f>
        <v>Champions</v>
      </c>
      <c r="T62" s="38"/>
    </row>
    <row r="63" spans="1:20" x14ac:dyDescent="0.2">
      <c r="A63" t="s">
        <v>102</v>
      </c>
      <c r="B63" t="s">
        <v>23</v>
      </c>
      <c r="C63" s="28">
        <v>62.78</v>
      </c>
      <c r="D63">
        <v>1</v>
      </c>
      <c r="E63" s="28">
        <v>63.67</v>
      </c>
      <c r="F63">
        <v>217</v>
      </c>
      <c r="G63">
        <v>18.3</v>
      </c>
      <c r="H63">
        <v>1</v>
      </c>
      <c r="I63" t="s">
        <v>33</v>
      </c>
      <c r="J63">
        <v>0</v>
      </c>
      <c r="K63">
        <v>8.4</v>
      </c>
      <c r="L63">
        <v>9.4</v>
      </c>
      <c r="M63" t="s">
        <v>55</v>
      </c>
      <c r="N63" t="s">
        <v>30</v>
      </c>
      <c r="O63">
        <f t="shared" si="0"/>
        <v>1</v>
      </c>
      <c r="P63">
        <f t="shared" si="1"/>
        <v>1</v>
      </c>
      <c r="Q63">
        <f t="shared" si="2"/>
        <v>1</v>
      </c>
      <c r="R63" s="25" t="str">
        <f t="shared" si="3"/>
        <v>111</v>
      </c>
      <c r="S63" t="str" cm="1">
        <f t="array" ref="S63">_xlfn.IFS(AND(O63&gt;=4, P63&gt;=4, Q63&gt;=4), "Champions", AND(O63&gt;=3, P63&gt;=4), "Loyal Customers", AND(O63&gt;=4, P63&lt;=2), "New / Promising", AND(O63&lt;=2, P63&gt;=4), "At Risk Loyalists", AND(Q63&gt;=4, P63&lt;=3), "Big Spenders", AND(O63&lt;=2, P63&lt;=2), "Lost / Dormant", TRUE, "Regular Customers")</f>
        <v>Lost / Dormant</v>
      </c>
      <c r="T63" s="38"/>
    </row>
    <row r="64" spans="1:20" x14ac:dyDescent="0.2">
      <c r="A64" t="s">
        <v>103</v>
      </c>
      <c r="B64" t="s">
        <v>32</v>
      </c>
      <c r="C64" s="28">
        <v>344.11</v>
      </c>
      <c r="D64">
        <v>4</v>
      </c>
      <c r="E64" s="28">
        <v>84.63</v>
      </c>
      <c r="F64">
        <v>54</v>
      </c>
      <c r="G64">
        <v>8.6999999999999993</v>
      </c>
      <c r="H64">
        <v>3</v>
      </c>
      <c r="I64" t="s">
        <v>24</v>
      </c>
      <c r="J64">
        <v>12</v>
      </c>
      <c r="K64">
        <v>78.3</v>
      </c>
      <c r="L64">
        <v>25.4</v>
      </c>
      <c r="M64" t="s">
        <v>47</v>
      </c>
      <c r="N64" t="s">
        <v>43</v>
      </c>
      <c r="O64">
        <f t="shared" si="0"/>
        <v>2</v>
      </c>
      <c r="P64">
        <f t="shared" si="1"/>
        <v>3</v>
      </c>
      <c r="Q64">
        <f t="shared" si="2"/>
        <v>4</v>
      </c>
      <c r="R64" s="25" t="str">
        <f t="shared" si="3"/>
        <v>234</v>
      </c>
      <c r="S64" t="str" cm="1">
        <f t="array" ref="S64">_xlfn.IFS(AND(O64&gt;=4, P64&gt;=4, Q64&gt;=4), "Champions", AND(O64&gt;=3, P64&gt;=4), "Loyal Customers", AND(O64&gt;=4, P64&lt;=2), "New / Promising", AND(O64&lt;=2, P64&gt;=4), "At Risk Loyalists", AND(Q64&gt;=4, P64&lt;=3), "Big Spenders", AND(O64&lt;=2, P64&lt;=2), "Lost / Dormant", TRUE, "Regular Customers")</f>
        <v>Big Spenders</v>
      </c>
      <c r="T64" s="38"/>
    </row>
    <row r="65" spans="1:20" x14ac:dyDescent="0.2">
      <c r="A65" t="s">
        <v>104</v>
      </c>
      <c r="B65" t="s">
        <v>23</v>
      </c>
      <c r="C65" s="28">
        <v>386.35</v>
      </c>
      <c r="D65">
        <v>8</v>
      </c>
      <c r="E65" s="28">
        <v>46.74</v>
      </c>
      <c r="F65">
        <v>28</v>
      </c>
      <c r="G65">
        <v>57.3</v>
      </c>
      <c r="H65">
        <v>2</v>
      </c>
      <c r="I65" t="s">
        <v>24</v>
      </c>
      <c r="J65">
        <v>5</v>
      </c>
      <c r="K65">
        <v>49.2</v>
      </c>
      <c r="L65">
        <v>7.4</v>
      </c>
      <c r="M65" t="s">
        <v>29</v>
      </c>
      <c r="N65" t="s">
        <v>30</v>
      </c>
      <c r="O65">
        <f t="shared" si="0"/>
        <v>4</v>
      </c>
      <c r="P65">
        <f t="shared" si="1"/>
        <v>5</v>
      </c>
      <c r="Q65">
        <f t="shared" si="2"/>
        <v>4</v>
      </c>
      <c r="R65" s="25" t="str">
        <f t="shared" si="3"/>
        <v>454</v>
      </c>
      <c r="S65" t="str" cm="1">
        <f t="array" ref="S65">_xlfn.IFS(AND(O65&gt;=4, P65&gt;=4, Q65&gt;=4), "Champions", AND(O65&gt;=3, P65&gt;=4), "Loyal Customers", AND(O65&gt;=4, P65&lt;=2), "New / Promising", AND(O65&lt;=2, P65&gt;=4), "At Risk Loyalists", AND(Q65&gt;=4, P65&lt;=3), "Big Spenders", AND(O65&lt;=2, P65&lt;=2), "Lost / Dormant", TRUE, "Regular Customers")</f>
        <v>Champions</v>
      </c>
      <c r="T65" s="38"/>
    </row>
    <row r="66" spans="1:20" x14ac:dyDescent="0.2">
      <c r="A66" t="s">
        <v>105</v>
      </c>
      <c r="B66" t="s">
        <v>23</v>
      </c>
      <c r="C66" s="28">
        <v>335.1</v>
      </c>
      <c r="D66">
        <v>6</v>
      </c>
      <c r="E66" s="28">
        <v>53.82</v>
      </c>
      <c r="F66">
        <v>36</v>
      </c>
      <c r="G66">
        <v>34.299999999999997</v>
      </c>
      <c r="H66">
        <v>2</v>
      </c>
      <c r="I66" t="s">
        <v>24</v>
      </c>
      <c r="J66">
        <v>1</v>
      </c>
      <c r="K66">
        <v>42.8</v>
      </c>
      <c r="L66">
        <v>4.5</v>
      </c>
      <c r="M66" t="s">
        <v>25</v>
      </c>
      <c r="N66" t="s">
        <v>40</v>
      </c>
      <c r="O66">
        <f t="shared" si="0"/>
        <v>3</v>
      </c>
      <c r="P66">
        <f t="shared" si="1"/>
        <v>4</v>
      </c>
      <c r="Q66">
        <f t="shared" si="2"/>
        <v>4</v>
      </c>
      <c r="R66" s="25" t="str">
        <f t="shared" si="3"/>
        <v>344</v>
      </c>
      <c r="S66" t="str" cm="1">
        <f t="array" ref="S66">_xlfn.IFS(AND(O66&gt;=4, P66&gt;=4, Q66&gt;=4), "Champions", AND(O66&gt;=3, P66&gt;=4), "Loyal Customers", AND(O66&gt;=4, P66&lt;=2), "New / Promising", AND(O66&lt;=2, P66&gt;=4), "At Risk Loyalists", AND(Q66&gt;=4, P66&lt;=3), "Big Spenders", AND(O66&lt;=2, P66&lt;=2), "Lost / Dormant", TRUE, "Regular Customers")</f>
        <v>Loyal Customers</v>
      </c>
      <c r="T66" s="38"/>
    </row>
    <row r="67" spans="1:20" x14ac:dyDescent="0.2">
      <c r="A67" t="s">
        <v>106</v>
      </c>
      <c r="B67" t="s">
        <v>58</v>
      </c>
      <c r="C67" s="28">
        <v>172.89</v>
      </c>
      <c r="D67">
        <v>3</v>
      </c>
      <c r="E67" s="28">
        <v>56.83</v>
      </c>
      <c r="F67">
        <v>51</v>
      </c>
      <c r="G67">
        <v>62.7</v>
      </c>
      <c r="H67">
        <v>2</v>
      </c>
      <c r="I67" t="s">
        <v>33</v>
      </c>
      <c r="J67">
        <v>0</v>
      </c>
      <c r="K67">
        <v>28.4</v>
      </c>
      <c r="L67">
        <v>14.8</v>
      </c>
      <c r="M67" t="s">
        <v>25</v>
      </c>
      <c r="N67" t="s">
        <v>43</v>
      </c>
      <c r="O67">
        <f t="shared" ref="O67:O130" si="4">IF(F67&lt;=_xlfn.PERCENTILE.INC($F$2:$F$301,0.2), 5,
 IF(F67&lt;=_xlfn.PERCENTILE.INC($F$2:$F$301,0.4), 4,
 IF(F67&lt;=_xlfn.PERCENTILE.INC($F$2:$F$301,0.6), 3,
 IF(F67&lt;=_xlfn.PERCENTILE.INC($F$2:$F$301,0.8), 2, 1))))</f>
        <v>2</v>
      </c>
      <c r="P67">
        <f t="shared" ref="P67:P130" si="5">IF(D67&gt;=_xlfn.PERCENTILE.INC($D$2:$D$301,0.8), 5,
 IF(D67&gt;=_xlfn.PERCENTILE.INC($D$2:$D$301,0.6), 4,
 IF(D67&gt;=_xlfn.PERCENTILE.INC($D$2:$D$301,0.4), 3,
 IF(D67&gt;=_xlfn.PERCENTILE.INC($D$2:$D$301,0.2), 2, 1))))</f>
        <v>2</v>
      </c>
      <c r="Q67">
        <f t="shared" ref="Q67:Q130" si="6">IF(C67&gt;=_xlfn.PERCENTILE.INC($C$2:$C$301,0.8), 5,
 IF(C67&gt;=_xlfn.PERCENTILE.INC($C$2:$C$301,0.6), 4,
 IF(C67&gt;=_xlfn.PERCENTILE.INC($C$2:$C$301,0.4), 3,
 IF(C67&gt;=_xlfn.PERCENTILE.INC($C$2:$C$301,0.2), 2, 1))))</f>
        <v>2</v>
      </c>
      <c r="R67" s="25" t="str">
        <f t="shared" ref="R67:R130" si="7">O67&amp;P67&amp;Q67</f>
        <v>222</v>
      </c>
      <c r="S67" t="str" cm="1">
        <f t="array" ref="S67">_xlfn.IFS(AND(O67&gt;=4, P67&gt;=4, Q67&gt;=4), "Champions", AND(O67&gt;=3, P67&gt;=4), "Loyal Customers", AND(O67&gt;=4, P67&lt;=2), "New / Promising", AND(O67&lt;=2, P67&gt;=4), "At Risk Loyalists", AND(Q67&gt;=4, P67&lt;=3), "Big Spenders", AND(O67&lt;=2, P67&lt;=2), "Lost / Dormant", TRUE, "Regular Customers")</f>
        <v>Lost / Dormant</v>
      </c>
      <c r="T67" s="38"/>
    </row>
    <row r="68" spans="1:20" x14ac:dyDescent="0.2">
      <c r="A68" t="s">
        <v>107</v>
      </c>
      <c r="B68" t="s">
        <v>37</v>
      </c>
      <c r="C68" s="28">
        <v>51.82</v>
      </c>
      <c r="D68">
        <v>1</v>
      </c>
      <c r="E68" s="28">
        <v>49.13</v>
      </c>
      <c r="F68">
        <v>146</v>
      </c>
      <c r="G68">
        <v>10.8</v>
      </c>
      <c r="H68">
        <v>1</v>
      </c>
      <c r="I68" t="s">
        <v>33</v>
      </c>
      <c r="J68">
        <v>0</v>
      </c>
      <c r="K68">
        <v>30.3</v>
      </c>
      <c r="L68">
        <v>4.4000000000000004</v>
      </c>
      <c r="M68" t="s">
        <v>29</v>
      </c>
      <c r="N68" t="s">
        <v>40</v>
      </c>
      <c r="O68">
        <f t="shared" si="4"/>
        <v>1</v>
      </c>
      <c r="P68">
        <f t="shared" si="5"/>
        <v>1</v>
      </c>
      <c r="Q68">
        <f t="shared" si="6"/>
        <v>1</v>
      </c>
      <c r="R68" s="25" t="str">
        <f t="shared" si="7"/>
        <v>111</v>
      </c>
      <c r="S68" t="str" cm="1">
        <f t="array" ref="S68">_xlfn.IFS(AND(O68&gt;=4, P68&gt;=4, Q68&gt;=4), "Champions", AND(O68&gt;=3, P68&gt;=4), "Loyal Customers", AND(O68&gt;=4, P68&lt;=2), "New / Promising", AND(O68&lt;=2, P68&gt;=4), "At Risk Loyalists", AND(Q68&gt;=4, P68&lt;=3), "Big Spenders", AND(O68&lt;=2, P68&lt;=2), "Lost / Dormant", TRUE, "Regular Customers")</f>
        <v>Lost / Dormant</v>
      </c>
      <c r="T68" s="38"/>
    </row>
    <row r="69" spans="1:20" x14ac:dyDescent="0.2">
      <c r="A69" t="s">
        <v>108</v>
      </c>
      <c r="B69" t="s">
        <v>32</v>
      </c>
      <c r="C69" s="28">
        <v>249.75</v>
      </c>
      <c r="D69">
        <v>7</v>
      </c>
      <c r="E69" s="28">
        <v>37.74</v>
      </c>
      <c r="F69">
        <v>3</v>
      </c>
      <c r="G69">
        <v>34</v>
      </c>
      <c r="H69">
        <v>2</v>
      </c>
      <c r="I69" t="s">
        <v>33</v>
      </c>
      <c r="J69">
        <v>0</v>
      </c>
      <c r="K69">
        <v>55.7</v>
      </c>
      <c r="L69">
        <v>13.6</v>
      </c>
      <c r="M69" t="s">
        <v>25</v>
      </c>
      <c r="N69" t="s">
        <v>40</v>
      </c>
      <c r="O69">
        <f t="shared" si="4"/>
        <v>5</v>
      </c>
      <c r="P69">
        <f t="shared" si="5"/>
        <v>5</v>
      </c>
      <c r="Q69">
        <f t="shared" si="6"/>
        <v>3</v>
      </c>
      <c r="R69" s="25" t="str">
        <f t="shared" si="7"/>
        <v>553</v>
      </c>
      <c r="S69" t="str" cm="1">
        <f t="array" ref="S69">_xlfn.IFS(AND(O69&gt;=4, P69&gt;=4, Q69&gt;=4), "Champions", AND(O69&gt;=3, P69&gt;=4), "Loyal Customers", AND(O69&gt;=4, P69&lt;=2), "New / Promising", AND(O69&lt;=2, P69&gt;=4), "At Risk Loyalists", AND(Q69&gt;=4, P69&lt;=3), "Big Spenders", AND(O69&lt;=2, P69&lt;=2), "Lost / Dormant", TRUE, "Regular Customers")</f>
        <v>Loyal Customers</v>
      </c>
      <c r="T69" s="38"/>
    </row>
    <row r="70" spans="1:20" x14ac:dyDescent="0.2">
      <c r="A70" t="s">
        <v>109</v>
      </c>
      <c r="B70" t="s">
        <v>37</v>
      </c>
      <c r="C70" s="28">
        <v>123.83</v>
      </c>
      <c r="D70">
        <v>3</v>
      </c>
      <c r="E70" s="28">
        <v>43.02</v>
      </c>
      <c r="F70">
        <v>174</v>
      </c>
      <c r="G70">
        <v>25</v>
      </c>
      <c r="H70">
        <v>3</v>
      </c>
      <c r="I70" t="s">
        <v>33</v>
      </c>
      <c r="J70">
        <v>0</v>
      </c>
      <c r="K70">
        <v>14.2</v>
      </c>
      <c r="L70">
        <v>2.2999999999999998</v>
      </c>
      <c r="M70" t="s">
        <v>25</v>
      </c>
      <c r="N70" t="s">
        <v>43</v>
      </c>
      <c r="O70">
        <f t="shared" si="4"/>
        <v>1</v>
      </c>
      <c r="P70">
        <f t="shared" si="5"/>
        <v>2</v>
      </c>
      <c r="Q70">
        <f t="shared" si="6"/>
        <v>1</v>
      </c>
      <c r="R70" s="25" t="str">
        <f t="shared" si="7"/>
        <v>121</v>
      </c>
      <c r="S70" t="str" cm="1">
        <f t="array" ref="S70">_xlfn.IFS(AND(O70&gt;=4, P70&gt;=4, Q70&gt;=4), "Champions", AND(O70&gt;=3, P70&gt;=4), "Loyal Customers", AND(O70&gt;=4, P70&lt;=2), "New / Promising", AND(O70&lt;=2, P70&gt;=4), "At Risk Loyalists", AND(Q70&gt;=4, P70&lt;=3), "Big Spenders", AND(O70&lt;=2, P70&lt;=2), "Lost / Dormant", TRUE, "Regular Customers")</f>
        <v>Lost / Dormant</v>
      </c>
      <c r="T70" s="38"/>
    </row>
    <row r="71" spans="1:20" x14ac:dyDescent="0.2">
      <c r="A71" t="s">
        <v>110</v>
      </c>
      <c r="B71" t="s">
        <v>28</v>
      </c>
      <c r="C71" s="28">
        <v>208.97</v>
      </c>
      <c r="D71">
        <v>5</v>
      </c>
      <c r="E71" s="28">
        <v>44.94</v>
      </c>
      <c r="F71">
        <v>23</v>
      </c>
      <c r="G71">
        <v>59</v>
      </c>
      <c r="H71">
        <v>4</v>
      </c>
      <c r="I71" t="s">
        <v>24</v>
      </c>
      <c r="J71">
        <v>5</v>
      </c>
      <c r="K71">
        <v>32.700000000000003</v>
      </c>
      <c r="L71">
        <v>9.9</v>
      </c>
      <c r="M71" t="s">
        <v>29</v>
      </c>
      <c r="N71" t="s">
        <v>26</v>
      </c>
      <c r="O71">
        <f t="shared" si="4"/>
        <v>4</v>
      </c>
      <c r="P71">
        <f t="shared" si="5"/>
        <v>3</v>
      </c>
      <c r="Q71">
        <f t="shared" si="6"/>
        <v>2</v>
      </c>
      <c r="R71" s="25" t="str">
        <f t="shared" si="7"/>
        <v>432</v>
      </c>
      <c r="S71" t="str" cm="1">
        <f t="array" ref="S71">_xlfn.IFS(AND(O71&gt;=4, P71&gt;=4, Q71&gt;=4), "Champions", AND(O71&gt;=3, P71&gt;=4), "Loyal Customers", AND(O71&gt;=4, P71&lt;=2), "New / Promising", AND(O71&lt;=2, P71&gt;=4), "At Risk Loyalists", AND(Q71&gt;=4, P71&lt;=3), "Big Spenders", AND(O71&lt;=2, P71&lt;=2), "Lost / Dormant", TRUE, "Regular Customers")</f>
        <v>Regular Customers</v>
      </c>
      <c r="T71" s="38"/>
    </row>
    <row r="72" spans="1:20" x14ac:dyDescent="0.2">
      <c r="A72" t="s">
        <v>111</v>
      </c>
      <c r="B72" t="s">
        <v>32</v>
      </c>
      <c r="C72" s="28">
        <v>63.09</v>
      </c>
      <c r="D72">
        <v>1</v>
      </c>
      <c r="E72" s="28">
        <v>65.61</v>
      </c>
      <c r="F72">
        <v>127</v>
      </c>
      <c r="G72">
        <v>29.4</v>
      </c>
      <c r="H72">
        <v>2</v>
      </c>
      <c r="I72" t="s">
        <v>33</v>
      </c>
      <c r="J72">
        <v>0</v>
      </c>
      <c r="K72">
        <v>26.1</v>
      </c>
      <c r="L72">
        <v>4.7</v>
      </c>
      <c r="M72" t="s">
        <v>25</v>
      </c>
      <c r="N72" t="s">
        <v>26</v>
      </c>
      <c r="O72">
        <f t="shared" si="4"/>
        <v>1</v>
      </c>
      <c r="P72">
        <f t="shared" si="5"/>
        <v>1</v>
      </c>
      <c r="Q72">
        <f t="shared" si="6"/>
        <v>1</v>
      </c>
      <c r="R72" s="25" t="str">
        <f t="shared" si="7"/>
        <v>111</v>
      </c>
      <c r="S72" t="str" cm="1">
        <f t="array" ref="S72">_xlfn.IFS(AND(O72&gt;=4, P72&gt;=4, Q72&gt;=4), "Champions", AND(O72&gt;=3, P72&gt;=4), "Loyal Customers", AND(O72&gt;=4, P72&lt;=2), "New / Promising", AND(O72&lt;=2, P72&gt;=4), "At Risk Loyalists", AND(Q72&gt;=4, P72&lt;=3), "Big Spenders", AND(O72&lt;=2, P72&lt;=2), "Lost / Dormant", TRUE, "Regular Customers")</f>
        <v>Lost / Dormant</v>
      </c>
      <c r="T72" s="38"/>
    </row>
    <row r="73" spans="1:20" x14ac:dyDescent="0.2">
      <c r="A73" t="s">
        <v>112</v>
      </c>
      <c r="B73" t="s">
        <v>37</v>
      </c>
      <c r="C73" s="28">
        <v>190.74</v>
      </c>
      <c r="D73">
        <v>3</v>
      </c>
      <c r="E73" s="28">
        <v>65.150000000000006</v>
      </c>
      <c r="F73">
        <v>40</v>
      </c>
      <c r="G73">
        <v>13.5</v>
      </c>
      <c r="H73">
        <v>3</v>
      </c>
      <c r="I73" t="s">
        <v>33</v>
      </c>
      <c r="J73">
        <v>0</v>
      </c>
      <c r="K73">
        <v>48.8</v>
      </c>
      <c r="L73">
        <v>14.7</v>
      </c>
      <c r="M73" t="s">
        <v>53</v>
      </c>
      <c r="N73" t="s">
        <v>26</v>
      </c>
      <c r="O73">
        <f t="shared" si="4"/>
        <v>3</v>
      </c>
      <c r="P73">
        <f t="shared" si="5"/>
        <v>2</v>
      </c>
      <c r="Q73">
        <f t="shared" si="6"/>
        <v>2</v>
      </c>
      <c r="R73" s="25" t="str">
        <f t="shared" si="7"/>
        <v>322</v>
      </c>
      <c r="S73" t="str" cm="1">
        <f t="array" ref="S73">_xlfn.IFS(AND(O73&gt;=4, P73&gt;=4, Q73&gt;=4), "Champions", AND(O73&gt;=3, P73&gt;=4), "Loyal Customers", AND(O73&gt;=4, P73&lt;=2), "New / Promising", AND(O73&lt;=2, P73&gt;=4), "At Risk Loyalists", AND(Q73&gt;=4, P73&lt;=3), "Big Spenders", AND(O73&lt;=2, P73&lt;=2), "Lost / Dormant", TRUE, "Regular Customers")</f>
        <v>Regular Customers</v>
      </c>
      <c r="T73" s="38"/>
    </row>
    <row r="74" spans="1:20" x14ac:dyDescent="0.2">
      <c r="A74" t="s">
        <v>113</v>
      </c>
      <c r="B74" t="s">
        <v>37</v>
      </c>
      <c r="C74" s="28">
        <v>93.57</v>
      </c>
      <c r="D74">
        <v>2</v>
      </c>
      <c r="E74" s="28">
        <v>45.28</v>
      </c>
      <c r="F74">
        <v>191</v>
      </c>
      <c r="G74">
        <v>24</v>
      </c>
      <c r="H74">
        <v>1</v>
      </c>
      <c r="I74" t="s">
        <v>33</v>
      </c>
      <c r="J74">
        <v>0</v>
      </c>
      <c r="K74">
        <v>22.5</v>
      </c>
      <c r="L74">
        <v>4.0999999999999996</v>
      </c>
      <c r="M74" t="s">
        <v>25</v>
      </c>
      <c r="N74" t="s">
        <v>26</v>
      </c>
      <c r="O74">
        <f t="shared" si="4"/>
        <v>1</v>
      </c>
      <c r="P74">
        <f t="shared" si="5"/>
        <v>1</v>
      </c>
      <c r="Q74">
        <f t="shared" si="6"/>
        <v>1</v>
      </c>
      <c r="R74" s="25" t="str">
        <f t="shared" si="7"/>
        <v>111</v>
      </c>
      <c r="S74" t="str" cm="1">
        <f t="array" ref="S74">_xlfn.IFS(AND(O74&gt;=4, P74&gt;=4, Q74&gt;=4), "Champions", AND(O74&gt;=3, P74&gt;=4), "Loyal Customers", AND(O74&gt;=4, P74&lt;=2), "New / Promising", AND(O74&lt;=2, P74&gt;=4), "At Risk Loyalists", AND(Q74&gt;=4, P74&lt;=3), "Big Spenders", AND(O74&lt;=2, P74&lt;=2), "Lost / Dormant", TRUE, "Regular Customers")</f>
        <v>Lost / Dormant</v>
      </c>
      <c r="T74" s="38"/>
    </row>
    <row r="75" spans="1:20" x14ac:dyDescent="0.2">
      <c r="A75" t="s">
        <v>114</v>
      </c>
      <c r="B75" t="s">
        <v>32</v>
      </c>
      <c r="C75" s="28">
        <v>513.5</v>
      </c>
      <c r="D75">
        <v>8</v>
      </c>
      <c r="E75" s="28">
        <v>63.72</v>
      </c>
      <c r="F75">
        <v>11</v>
      </c>
      <c r="G75">
        <v>12.5</v>
      </c>
      <c r="H75">
        <v>1</v>
      </c>
      <c r="I75" t="s">
        <v>24</v>
      </c>
      <c r="J75">
        <v>10</v>
      </c>
      <c r="K75">
        <v>80.099999999999994</v>
      </c>
      <c r="L75">
        <v>24.8</v>
      </c>
      <c r="M75" t="s">
        <v>39</v>
      </c>
      <c r="N75" t="s">
        <v>30</v>
      </c>
      <c r="O75">
        <f t="shared" si="4"/>
        <v>5</v>
      </c>
      <c r="P75">
        <f t="shared" si="5"/>
        <v>5</v>
      </c>
      <c r="Q75">
        <f t="shared" si="6"/>
        <v>5</v>
      </c>
      <c r="R75" s="25" t="str">
        <f t="shared" si="7"/>
        <v>555</v>
      </c>
      <c r="S75" t="str" cm="1">
        <f t="array" ref="S75">_xlfn.IFS(AND(O75&gt;=4, P75&gt;=4, Q75&gt;=4), "Champions", AND(O75&gt;=3, P75&gt;=4), "Loyal Customers", AND(O75&gt;=4, P75&lt;=2), "New / Promising", AND(O75&lt;=2, P75&gt;=4), "At Risk Loyalists", AND(Q75&gt;=4, P75&lt;=3), "Big Spenders", AND(O75&lt;=2, P75&lt;=2), "Lost / Dormant", TRUE, "Regular Customers")</f>
        <v>Champions</v>
      </c>
      <c r="T75" s="38"/>
    </row>
    <row r="76" spans="1:20" x14ac:dyDescent="0.2">
      <c r="A76" t="s">
        <v>115</v>
      </c>
      <c r="B76" t="s">
        <v>35</v>
      </c>
      <c r="C76" s="28">
        <v>351.23</v>
      </c>
      <c r="D76">
        <v>5</v>
      </c>
      <c r="E76" s="28">
        <v>72.209999999999994</v>
      </c>
      <c r="F76">
        <v>21</v>
      </c>
      <c r="G76">
        <v>7.6</v>
      </c>
      <c r="H76">
        <v>5</v>
      </c>
      <c r="I76" t="s">
        <v>24</v>
      </c>
      <c r="J76">
        <v>9</v>
      </c>
      <c r="K76">
        <v>63.2</v>
      </c>
      <c r="L76">
        <v>12.5</v>
      </c>
      <c r="M76" t="s">
        <v>39</v>
      </c>
      <c r="N76" t="s">
        <v>26</v>
      </c>
      <c r="O76">
        <f t="shared" si="4"/>
        <v>5</v>
      </c>
      <c r="P76">
        <f t="shared" si="5"/>
        <v>3</v>
      </c>
      <c r="Q76">
        <f t="shared" si="6"/>
        <v>4</v>
      </c>
      <c r="R76" s="25" t="str">
        <f t="shared" si="7"/>
        <v>534</v>
      </c>
      <c r="S76" t="str" cm="1">
        <f t="array" ref="S76">_xlfn.IFS(AND(O76&gt;=4, P76&gt;=4, Q76&gt;=4), "Champions", AND(O76&gt;=3, P76&gt;=4), "Loyal Customers", AND(O76&gt;=4, P76&lt;=2), "New / Promising", AND(O76&lt;=2, P76&gt;=4), "At Risk Loyalists", AND(Q76&gt;=4, P76&lt;=3), "Big Spenders", AND(O76&lt;=2, P76&lt;=2), "Lost / Dormant", TRUE, "Regular Customers")</f>
        <v>Big Spenders</v>
      </c>
      <c r="T76" s="38"/>
    </row>
    <row r="77" spans="1:20" x14ac:dyDescent="0.2">
      <c r="A77" t="s">
        <v>116</v>
      </c>
      <c r="B77" t="s">
        <v>32</v>
      </c>
      <c r="C77" s="28">
        <v>170.58</v>
      </c>
      <c r="D77">
        <v>4</v>
      </c>
      <c r="E77" s="28">
        <v>42.98</v>
      </c>
      <c r="F77">
        <v>46</v>
      </c>
      <c r="G77">
        <v>67.5</v>
      </c>
      <c r="H77">
        <v>2</v>
      </c>
      <c r="I77" t="s">
        <v>33</v>
      </c>
      <c r="J77">
        <v>0</v>
      </c>
      <c r="K77">
        <v>34.4</v>
      </c>
      <c r="L77">
        <v>12</v>
      </c>
      <c r="M77" t="s">
        <v>55</v>
      </c>
      <c r="N77" t="s">
        <v>43</v>
      </c>
      <c r="O77">
        <f t="shared" si="4"/>
        <v>3</v>
      </c>
      <c r="P77">
        <f t="shared" si="5"/>
        <v>3</v>
      </c>
      <c r="Q77">
        <f t="shared" si="6"/>
        <v>2</v>
      </c>
      <c r="R77" s="25" t="str">
        <f t="shared" si="7"/>
        <v>332</v>
      </c>
      <c r="S77" t="str" cm="1">
        <f t="array" ref="S77">_xlfn.IFS(AND(O77&gt;=4, P77&gt;=4, Q77&gt;=4), "Champions", AND(O77&gt;=3, P77&gt;=4), "Loyal Customers", AND(O77&gt;=4, P77&lt;=2), "New / Promising", AND(O77&lt;=2, P77&gt;=4), "At Risk Loyalists", AND(Q77&gt;=4, P77&lt;=3), "Big Spenders", AND(O77&lt;=2, P77&lt;=2), "Lost / Dormant", TRUE, "Regular Customers")</f>
        <v>Regular Customers</v>
      </c>
      <c r="T77" s="38"/>
    </row>
    <row r="78" spans="1:20" x14ac:dyDescent="0.2">
      <c r="A78" t="s">
        <v>117</v>
      </c>
      <c r="B78" t="s">
        <v>32</v>
      </c>
      <c r="C78" s="28">
        <v>174.25</v>
      </c>
      <c r="D78">
        <v>3</v>
      </c>
      <c r="E78" s="28">
        <v>54.07</v>
      </c>
      <c r="F78">
        <v>283</v>
      </c>
      <c r="G78">
        <v>20.2</v>
      </c>
      <c r="H78">
        <v>2</v>
      </c>
      <c r="I78" t="s">
        <v>33</v>
      </c>
      <c r="J78">
        <v>0</v>
      </c>
      <c r="K78">
        <v>16</v>
      </c>
      <c r="L78">
        <v>8.9</v>
      </c>
      <c r="M78" t="s">
        <v>25</v>
      </c>
      <c r="N78" t="s">
        <v>45</v>
      </c>
      <c r="O78">
        <f t="shared" si="4"/>
        <v>1</v>
      </c>
      <c r="P78">
        <f t="shared" si="5"/>
        <v>2</v>
      </c>
      <c r="Q78">
        <f t="shared" si="6"/>
        <v>2</v>
      </c>
      <c r="R78" s="25" t="str">
        <f t="shared" si="7"/>
        <v>122</v>
      </c>
      <c r="S78" t="str" cm="1">
        <f t="array" ref="S78">_xlfn.IFS(AND(O78&gt;=4, P78&gt;=4, Q78&gt;=4), "Champions", AND(O78&gt;=3, P78&gt;=4), "Loyal Customers", AND(O78&gt;=4, P78&lt;=2), "New / Promising", AND(O78&lt;=2, P78&gt;=4), "At Risk Loyalists", AND(Q78&gt;=4, P78&lt;=3), "Big Spenders", AND(O78&lt;=2, P78&lt;=2), "Lost / Dormant", TRUE, "Regular Customers")</f>
        <v>Lost / Dormant</v>
      </c>
      <c r="T78" s="38"/>
    </row>
    <row r="79" spans="1:20" x14ac:dyDescent="0.2">
      <c r="A79" t="s">
        <v>118</v>
      </c>
      <c r="B79" t="s">
        <v>37</v>
      </c>
      <c r="C79" s="28">
        <v>441.12</v>
      </c>
      <c r="D79">
        <v>6</v>
      </c>
      <c r="E79" s="28">
        <v>73.13</v>
      </c>
      <c r="F79">
        <v>35</v>
      </c>
      <c r="G79">
        <v>3.4</v>
      </c>
      <c r="H79">
        <v>3</v>
      </c>
      <c r="I79" t="s">
        <v>24</v>
      </c>
      <c r="J79">
        <v>16</v>
      </c>
      <c r="K79">
        <v>62.4</v>
      </c>
      <c r="L79">
        <v>19.8</v>
      </c>
      <c r="M79" t="s">
        <v>29</v>
      </c>
      <c r="N79" t="s">
        <v>26</v>
      </c>
      <c r="O79">
        <f t="shared" si="4"/>
        <v>3</v>
      </c>
      <c r="P79">
        <f t="shared" si="5"/>
        <v>4</v>
      </c>
      <c r="Q79">
        <f t="shared" si="6"/>
        <v>4</v>
      </c>
      <c r="R79" s="25" t="str">
        <f t="shared" si="7"/>
        <v>344</v>
      </c>
      <c r="S79" t="str" cm="1">
        <f t="array" ref="S79">_xlfn.IFS(AND(O79&gt;=4, P79&gt;=4, Q79&gt;=4), "Champions", AND(O79&gt;=3, P79&gt;=4), "Loyal Customers", AND(O79&gt;=4, P79&lt;=2), "New / Promising", AND(O79&lt;=2, P79&gt;=4), "At Risk Loyalists", AND(Q79&gt;=4, P79&lt;=3), "Big Spenders", AND(O79&lt;=2, P79&lt;=2), "Lost / Dormant", TRUE, "Regular Customers")</f>
        <v>Loyal Customers</v>
      </c>
      <c r="T79" s="38"/>
    </row>
    <row r="80" spans="1:20" x14ac:dyDescent="0.2">
      <c r="A80" t="s">
        <v>119</v>
      </c>
      <c r="B80" t="s">
        <v>23</v>
      </c>
      <c r="C80" s="28">
        <v>247.14</v>
      </c>
      <c r="D80">
        <v>5</v>
      </c>
      <c r="E80" s="28">
        <v>45.88</v>
      </c>
      <c r="F80">
        <v>27</v>
      </c>
      <c r="G80">
        <v>37.799999999999997</v>
      </c>
      <c r="H80">
        <v>4</v>
      </c>
      <c r="I80" t="s">
        <v>33</v>
      </c>
      <c r="J80">
        <v>0</v>
      </c>
      <c r="K80">
        <v>35.299999999999997</v>
      </c>
      <c r="L80">
        <v>11.9</v>
      </c>
      <c r="M80" t="s">
        <v>55</v>
      </c>
      <c r="N80" t="s">
        <v>45</v>
      </c>
      <c r="O80">
        <f t="shared" si="4"/>
        <v>4</v>
      </c>
      <c r="P80">
        <f t="shared" si="5"/>
        <v>3</v>
      </c>
      <c r="Q80">
        <f t="shared" si="6"/>
        <v>3</v>
      </c>
      <c r="R80" s="25" t="str">
        <f t="shared" si="7"/>
        <v>433</v>
      </c>
      <c r="S80" t="str" cm="1">
        <f t="array" ref="S80">_xlfn.IFS(AND(O80&gt;=4, P80&gt;=4, Q80&gt;=4), "Champions", AND(O80&gt;=3, P80&gt;=4), "Loyal Customers", AND(O80&gt;=4, P80&lt;=2), "New / Promising", AND(O80&lt;=2, P80&gt;=4), "At Risk Loyalists", AND(Q80&gt;=4, P80&lt;=3), "Big Spenders", AND(O80&lt;=2, P80&lt;=2), "Lost / Dormant", TRUE, "Regular Customers")</f>
        <v>Regular Customers</v>
      </c>
      <c r="T80" s="38"/>
    </row>
    <row r="81" spans="1:20" x14ac:dyDescent="0.2">
      <c r="A81" t="s">
        <v>120</v>
      </c>
      <c r="B81" t="s">
        <v>37</v>
      </c>
      <c r="C81" s="28">
        <v>100.4</v>
      </c>
      <c r="D81">
        <v>2</v>
      </c>
      <c r="E81" s="28">
        <v>50.16</v>
      </c>
      <c r="F81">
        <v>159</v>
      </c>
      <c r="G81">
        <v>12.4</v>
      </c>
      <c r="H81">
        <v>4</v>
      </c>
      <c r="I81" t="s">
        <v>24</v>
      </c>
      <c r="J81">
        <v>1</v>
      </c>
      <c r="K81">
        <v>23.5</v>
      </c>
      <c r="L81">
        <v>5.7</v>
      </c>
      <c r="M81" t="s">
        <v>53</v>
      </c>
      <c r="N81" t="s">
        <v>43</v>
      </c>
      <c r="O81">
        <f t="shared" si="4"/>
        <v>1</v>
      </c>
      <c r="P81">
        <f t="shared" si="5"/>
        <v>1</v>
      </c>
      <c r="Q81">
        <f t="shared" si="6"/>
        <v>1</v>
      </c>
      <c r="R81" s="25" t="str">
        <f t="shared" si="7"/>
        <v>111</v>
      </c>
      <c r="S81" t="str" cm="1">
        <f t="array" ref="S81">_xlfn.IFS(AND(O81&gt;=4, P81&gt;=4, Q81&gt;=4), "Champions", AND(O81&gt;=3, P81&gt;=4), "Loyal Customers", AND(O81&gt;=4, P81&lt;=2), "New / Promising", AND(O81&lt;=2, P81&gt;=4), "At Risk Loyalists", AND(Q81&gt;=4, P81&lt;=3), "Big Spenders", AND(O81&lt;=2, P81&lt;=2), "Lost / Dormant", TRUE, "Regular Customers")</f>
        <v>Lost / Dormant</v>
      </c>
      <c r="T81" s="38"/>
    </row>
    <row r="82" spans="1:20" x14ac:dyDescent="0.2">
      <c r="A82" t="s">
        <v>121</v>
      </c>
      <c r="B82" t="s">
        <v>32</v>
      </c>
      <c r="C82" s="28">
        <v>229.09</v>
      </c>
      <c r="D82">
        <v>5</v>
      </c>
      <c r="E82" s="28">
        <v>45.62</v>
      </c>
      <c r="F82">
        <v>48</v>
      </c>
      <c r="G82">
        <v>35.299999999999997</v>
      </c>
      <c r="H82">
        <v>2</v>
      </c>
      <c r="I82" t="s">
        <v>24</v>
      </c>
      <c r="J82">
        <v>8</v>
      </c>
      <c r="K82">
        <v>38.299999999999997</v>
      </c>
      <c r="L82">
        <v>8.9</v>
      </c>
      <c r="M82" t="s">
        <v>47</v>
      </c>
      <c r="N82" t="s">
        <v>26</v>
      </c>
      <c r="O82">
        <f t="shared" si="4"/>
        <v>3</v>
      </c>
      <c r="P82">
        <f t="shared" si="5"/>
        <v>3</v>
      </c>
      <c r="Q82">
        <f t="shared" si="6"/>
        <v>3</v>
      </c>
      <c r="R82" s="25" t="str">
        <f t="shared" si="7"/>
        <v>333</v>
      </c>
      <c r="S82" t="str" cm="1">
        <f t="array" ref="S82">_xlfn.IFS(AND(O82&gt;=4, P82&gt;=4, Q82&gt;=4), "Champions", AND(O82&gt;=3, P82&gt;=4), "Loyal Customers", AND(O82&gt;=4, P82&lt;=2), "New / Promising", AND(O82&lt;=2, P82&gt;=4), "At Risk Loyalists", AND(Q82&gt;=4, P82&lt;=3), "Big Spenders", AND(O82&lt;=2, P82&lt;=2), "Lost / Dormant", TRUE, "Regular Customers")</f>
        <v>Regular Customers</v>
      </c>
      <c r="T82" s="38"/>
    </row>
    <row r="83" spans="1:20" x14ac:dyDescent="0.2">
      <c r="A83" t="s">
        <v>122</v>
      </c>
      <c r="B83" t="s">
        <v>35</v>
      </c>
      <c r="C83" s="28">
        <v>354.73</v>
      </c>
      <c r="D83">
        <v>6</v>
      </c>
      <c r="E83" s="28">
        <v>60.93</v>
      </c>
      <c r="F83">
        <v>28</v>
      </c>
      <c r="G83">
        <v>27.9</v>
      </c>
      <c r="H83">
        <v>5</v>
      </c>
      <c r="I83" t="s">
        <v>33</v>
      </c>
      <c r="J83">
        <v>0</v>
      </c>
      <c r="K83">
        <v>45</v>
      </c>
      <c r="L83">
        <v>22</v>
      </c>
      <c r="M83" t="s">
        <v>29</v>
      </c>
      <c r="N83" t="s">
        <v>30</v>
      </c>
      <c r="O83">
        <f t="shared" si="4"/>
        <v>4</v>
      </c>
      <c r="P83">
        <f t="shared" si="5"/>
        <v>4</v>
      </c>
      <c r="Q83">
        <f t="shared" si="6"/>
        <v>4</v>
      </c>
      <c r="R83" s="25" t="str">
        <f t="shared" si="7"/>
        <v>444</v>
      </c>
      <c r="S83" t="str" cm="1">
        <f t="array" ref="S83">_xlfn.IFS(AND(O83&gt;=4, P83&gt;=4, Q83&gt;=4), "Champions", AND(O83&gt;=3, P83&gt;=4), "Loyal Customers", AND(O83&gt;=4, P83&lt;=2), "New / Promising", AND(O83&lt;=2, P83&gt;=4), "At Risk Loyalists", AND(Q83&gt;=4, P83&lt;=3), "Big Spenders", AND(O83&lt;=2, P83&lt;=2), "Lost / Dormant", TRUE, "Regular Customers")</f>
        <v>Champions</v>
      </c>
      <c r="T83" s="38"/>
    </row>
    <row r="84" spans="1:20" x14ac:dyDescent="0.2">
      <c r="A84" t="s">
        <v>123</v>
      </c>
      <c r="B84" t="s">
        <v>23</v>
      </c>
      <c r="C84" s="28">
        <v>716.91</v>
      </c>
      <c r="D84">
        <v>8</v>
      </c>
      <c r="E84" s="28">
        <v>85.17</v>
      </c>
      <c r="F84">
        <v>1</v>
      </c>
      <c r="G84">
        <v>11.3</v>
      </c>
      <c r="H84">
        <v>3</v>
      </c>
      <c r="I84" t="s">
        <v>24</v>
      </c>
      <c r="J84">
        <v>10</v>
      </c>
      <c r="K84">
        <v>67.900000000000006</v>
      </c>
      <c r="L84">
        <v>18.7</v>
      </c>
      <c r="M84" t="s">
        <v>25</v>
      </c>
      <c r="N84" t="s">
        <v>30</v>
      </c>
      <c r="O84">
        <f t="shared" si="4"/>
        <v>5</v>
      </c>
      <c r="P84">
        <f t="shared" si="5"/>
        <v>5</v>
      </c>
      <c r="Q84">
        <f t="shared" si="6"/>
        <v>5</v>
      </c>
      <c r="R84" s="25" t="str">
        <f t="shared" si="7"/>
        <v>555</v>
      </c>
      <c r="S84" t="str" cm="1">
        <f t="array" ref="S84">_xlfn.IFS(AND(O84&gt;=4, P84&gt;=4, Q84&gt;=4), "Champions", AND(O84&gt;=3, P84&gt;=4), "Loyal Customers", AND(O84&gt;=4, P84&lt;=2), "New / Promising", AND(O84&lt;=2, P84&gt;=4), "At Risk Loyalists", AND(Q84&gt;=4, P84&lt;=3), "Big Spenders", AND(O84&lt;=2, P84&lt;=2), "Lost / Dormant", TRUE, "Regular Customers")</f>
        <v>Champions</v>
      </c>
      <c r="T84" s="38"/>
    </row>
    <row r="85" spans="1:20" x14ac:dyDescent="0.2">
      <c r="A85" t="s">
        <v>124</v>
      </c>
      <c r="B85" t="s">
        <v>37</v>
      </c>
      <c r="C85" s="28">
        <v>440.48</v>
      </c>
      <c r="D85">
        <v>6</v>
      </c>
      <c r="E85" s="28">
        <v>69.61</v>
      </c>
      <c r="F85">
        <v>19</v>
      </c>
      <c r="G85">
        <v>9.8000000000000007</v>
      </c>
      <c r="H85">
        <v>3</v>
      </c>
      <c r="I85" t="s">
        <v>24</v>
      </c>
      <c r="J85">
        <v>15</v>
      </c>
      <c r="K85">
        <v>71.099999999999994</v>
      </c>
      <c r="L85">
        <v>8.4</v>
      </c>
      <c r="M85" t="s">
        <v>47</v>
      </c>
      <c r="N85" t="s">
        <v>45</v>
      </c>
      <c r="O85">
        <f t="shared" si="4"/>
        <v>5</v>
      </c>
      <c r="P85">
        <f t="shared" si="5"/>
        <v>4</v>
      </c>
      <c r="Q85">
        <f t="shared" si="6"/>
        <v>4</v>
      </c>
      <c r="R85" s="25" t="str">
        <f t="shared" si="7"/>
        <v>544</v>
      </c>
      <c r="S85" t="str" cm="1">
        <f t="array" ref="S85">_xlfn.IFS(AND(O85&gt;=4, P85&gt;=4, Q85&gt;=4), "Champions", AND(O85&gt;=3, P85&gt;=4), "Loyal Customers", AND(O85&gt;=4, P85&lt;=2), "New / Promising", AND(O85&lt;=2, P85&gt;=4), "At Risk Loyalists", AND(Q85&gt;=4, P85&lt;=3), "Big Spenders", AND(O85&lt;=2, P85&lt;=2), "Lost / Dormant", TRUE, "Regular Customers")</f>
        <v>Champions</v>
      </c>
      <c r="T85" s="38"/>
    </row>
    <row r="86" spans="1:20" x14ac:dyDescent="0.2">
      <c r="A86" t="s">
        <v>125</v>
      </c>
      <c r="B86" t="s">
        <v>23</v>
      </c>
      <c r="C86" s="28">
        <v>222.9</v>
      </c>
      <c r="D86">
        <v>4</v>
      </c>
      <c r="E86" s="28">
        <v>59.84</v>
      </c>
      <c r="F86">
        <v>99</v>
      </c>
      <c r="G86">
        <v>21.8</v>
      </c>
      <c r="H86">
        <v>2</v>
      </c>
      <c r="I86" t="s">
        <v>33</v>
      </c>
      <c r="J86">
        <v>0</v>
      </c>
      <c r="K86">
        <v>31.6</v>
      </c>
      <c r="L86">
        <v>1.6</v>
      </c>
      <c r="M86" t="s">
        <v>55</v>
      </c>
      <c r="N86" t="s">
        <v>30</v>
      </c>
      <c r="O86">
        <f t="shared" si="4"/>
        <v>2</v>
      </c>
      <c r="P86">
        <f t="shared" si="5"/>
        <v>3</v>
      </c>
      <c r="Q86">
        <f t="shared" si="6"/>
        <v>3</v>
      </c>
      <c r="R86" s="25" t="str">
        <f t="shared" si="7"/>
        <v>233</v>
      </c>
      <c r="S86" t="str" cm="1">
        <f t="array" ref="S86">_xlfn.IFS(AND(O86&gt;=4, P86&gt;=4, Q86&gt;=4), "Champions", AND(O86&gt;=3, P86&gt;=4), "Loyal Customers", AND(O86&gt;=4, P86&lt;=2), "New / Promising", AND(O86&lt;=2, P86&gt;=4), "At Risk Loyalists", AND(Q86&gt;=4, P86&lt;=3), "Big Spenders", AND(O86&lt;=2, P86&lt;=2), "Lost / Dormant", TRUE, "Regular Customers")</f>
        <v>Regular Customers</v>
      </c>
      <c r="T86" s="38"/>
    </row>
    <row r="87" spans="1:20" x14ac:dyDescent="0.2">
      <c r="A87" t="s">
        <v>126</v>
      </c>
      <c r="B87" t="s">
        <v>23</v>
      </c>
      <c r="C87" s="28">
        <v>228.56</v>
      </c>
      <c r="D87">
        <v>6</v>
      </c>
      <c r="E87" s="28">
        <v>39.93</v>
      </c>
      <c r="F87">
        <v>30</v>
      </c>
      <c r="G87">
        <v>55</v>
      </c>
      <c r="H87">
        <v>3</v>
      </c>
      <c r="I87" t="s">
        <v>33</v>
      </c>
      <c r="J87">
        <v>0</v>
      </c>
      <c r="K87">
        <v>24.5</v>
      </c>
      <c r="L87">
        <v>2.2999999999999998</v>
      </c>
      <c r="M87" t="s">
        <v>39</v>
      </c>
      <c r="N87" t="s">
        <v>45</v>
      </c>
      <c r="O87">
        <f t="shared" si="4"/>
        <v>4</v>
      </c>
      <c r="P87">
        <f t="shared" si="5"/>
        <v>4</v>
      </c>
      <c r="Q87">
        <f t="shared" si="6"/>
        <v>3</v>
      </c>
      <c r="R87" s="25" t="str">
        <f t="shared" si="7"/>
        <v>443</v>
      </c>
      <c r="S87" t="str" cm="1">
        <f t="array" ref="S87">_xlfn.IFS(AND(O87&gt;=4, P87&gt;=4, Q87&gt;=4), "Champions", AND(O87&gt;=3, P87&gt;=4), "Loyal Customers", AND(O87&gt;=4, P87&lt;=2), "New / Promising", AND(O87&lt;=2, P87&gt;=4), "At Risk Loyalists", AND(Q87&gt;=4, P87&lt;=3), "Big Spenders", AND(O87&lt;=2, P87&lt;=2), "Lost / Dormant", TRUE, "Regular Customers")</f>
        <v>Loyal Customers</v>
      </c>
      <c r="T87" s="38"/>
    </row>
    <row r="88" spans="1:20" x14ac:dyDescent="0.2">
      <c r="A88" t="s">
        <v>127</v>
      </c>
      <c r="B88" t="s">
        <v>32</v>
      </c>
      <c r="C88" s="28">
        <v>195.46</v>
      </c>
      <c r="D88">
        <v>3</v>
      </c>
      <c r="E88" s="28">
        <v>61.17</v>
      </c>
      <c r="F88">
        <v>155</v>
      </c>
      <c r="G88">
        <v>23.8</v>
      </c>
      <c r="H88">
        <v>2</v>
      </c>
      <c r="I88" t="s">
        <v>33</v>
      </c>
      <c r="J88">
        <v>0</v>
      </c>
      <c r="K88">
        <v>12.3</v>
      </c>
      <c r="L88">
        <v>7.5</v>
      </c>
      <c r="M88" t="s">
        <v>39</v>
      </c>
      <c r="N88" t="s">
        <v>43</v>
      </c>
      <c r="O88">
        <f t="shared" si="4"/>
        <v>1</v>
      </c>
      <c r="P88">
        <f t="shared" si="5"/>
        <v>2</v>
      </c>
      <c r="Q88">
        <f t="shared" si="6"/>
        <v>2</v>
      </c>
      <c r="R88" s="25" t="str">
        <f t="shared" si="7"/>
        <v>122</v>
      </c>
      <c r="S88" t="str" cm="1">
        <f t="array" ref="S88">_xlfn.IFS(AND(O88&gt;=4, P88&gt;=4, Q88&gt;=4), "Champions", AND(O88&gt;=3, P88&gt;=4), "Loyal Customers", AND(O88&gt;=4, P88&lt;=2), "New / Promising", AND(O88&lt;=2, P88&gt;=4), "At Risk Loyalists", AND(Q88&gt;=4, P88&lt;=3), "Big Spenders", AND(O88&lt;=2, P88&lt;=2), "Lost / Dormant", TRUE, "Regular Customers")</f>
        <v>Lost / Dormant</v>
      </c>
      <c r="T88" s="38"/>
    </row>
    <row r="89" spans="1:20" x14ac:dyDescent="0.2">
      <c r="A89" t="s">
        <v>128</v>
      </c>
      <c r="B89" t="s">
        <v>35</v>
      </c>
      <c r="C89" s="28">
        <v>375.46</v>
      </c>
      <c r="D89">
        <v>7</v>
      </c>
      <c r="E89" s="28">
        <v>57.2</v>
      </c>
      <c r="F89">
        <v>20</v>
      </c>
      <c r="G89">
        <v>46.4</v>
      </c>
      <c r="H89">
        <v>4</v>
      </c>
      <c r="I89" t="s">
        <v>33</v>
      </c>
      <c r="J89">
        <v>0</v>
      </c>
      <c r="K89">
        <v>36.799999999999997</v>
      </c>
      <c r="L89">
        <v>11</v>
      </c>
      <c r="M89" t="s">
        <v>29</v>
      </c>
      <c r="N89" t="s">
        <v>43</v>
      </c>
      <c r="O89">
        <f t="shared" si="4"/>
        <v>5</v>
      </c>
      <c r="P89">
        <f t="shared" si="5"/>
        <v>5</v>
      </c>
      <c r="Q89">
        <f t="shared" si="6"/>
        <v>4</v>
      </c>
      <c r="R89" s="25" t="str">
        <f t="shared" si="7"/>
        <v>554</v>
      </c>
      <c r="S89" t="str" cm="1">
        <f t="array" ref="S89">_xlfn.IFS(AND(O89&gt;=4, P89&gt;=4, Q89&gt;=4), "Champions", AND(O89&gt;=3, P89&gt;=4), "Loyal Customers", AND(O89&gt;=4, P89&lt;=2), "New / Promising", AND(O89&lt;=2, P89&gt;=4), "At Risk Loyalists", AND(Q89&gt;=4, P89&lt;=3), "Big Spenders", AND(O89&lt;=2, P89&lt;=2), "Lost / Dormant", TRUE, "Regular Customers")</f>
        <v>Champions</v>
      </c>
      <c r="T89" s="38"/>
    </row>
    <row r="90" spans="1:20" x14ac:dyDescent="0.2">
      <c r="A90" t="s">
        <v>129</v>
      </c>
      <c r="B90" t="s">
        <v>32</v>
      </c>
      <c r="C90" s="28">
        <v>489.29</v>
      </c>
      <c r="D90">
        <v>7</v>
      </c>
      <c r="E90" s="28">
        <v>66.650000000000006</v>
      </c>
      <c r="F90">
        <v>27</v>
      </c>
      <c r="G90">
        <v>11.5</v>
      </c>
      <c r="H90">
        <v>4</v>
      </c>
      <c r="I90" t="s">
        <v>24</v>
      </c>
      <c r="J90">
        <v>10</v>
      </c>
      <c r="K90">
        <v>65</v>
      </c>
      <c r="L90">
        <v>17</v>
      </c>
      <c r="M90" t="s">
        <v>47</v>
      </c>
      <c r="N90" t="s">
        <v>45</v>
      </c>
      <c r="O90">
        <f t="shared" si="4"/>
        <v>4</v>
      </c>
      <c r="P90">
        <f t="shared" si="5"/>
        <v>5</v>
      </c>
      <c r="Q90">
        <f t="shared" si="6"/>
        <v>5</v>
      </c>
      <c r="R90" s="25" t="str">
        <f t="shared" si="7"/>
        <v>455</v>
      </c>
      <c r="S90" t="str" cm="1">
        <f t="array" ref="S90">_xlfn.IFS(AND(O90&gt;=4, P90&gt;=4, Q90&gt;=4), "Champions", AND(O90&gt;=3, P90&gt;=4), "Loyal Customers", AND(O90&gt;=4, P90&lt;=2), "New / Promising", AND(O90&lt;=2, P90&gt;=4), "At Risk Loyalists", AND(Q90&gt;=4, P90&lt;=3), "Big Spenders", AND(O90&lt;=2, P90&lt;=2), "Lost / Dormant", TRUE, "Regular Customers")</f>
        <v>Champions</v>
      </c>
      <c r="T90" s="38"/>
    </row>
    <row r="91" spans="1:20" x14ac:dyDescent="0.2">
      <c r="A91" t="s">
        <v>130</v>
      </c>
      <c r="B91" t="s">
        <v>58</v>
      </c>
      <c r="C91" s="28">
        <v>249.52</v>
      </c>
      <c r="D91">
        <v>5</v>
      </c>
      <c r="E91" s="28">
        <v>49.58</v>
      </c>
      <c r="F91">
        <v>25</v>
      </c>
      <c r="G91">
        <v>36.9</v>
      </c>
      <c r="H91">
        <v>5</v>
      </c>
      <c r="I91" t="s">
        <v>33</v>
      </c>
      <c r="J91">
        <v>0</v>
      </c>
      <c r="K91">
        <v>51.4</v>
      </c>
      <c r="L91">
        <v>9.8000000000000007</v>
      </c>
      <c r="M91" t="s">
        <v>25</v>
      </c>
      <c r="N91" t="s">
        <v>45</v>
      </c>
      <c r="O91">
        <f t="shared" si="4"/>
        <v>4</v>
      </c>
      <c r="P91">
        <f t="shared" si="5"/>
        <v>3</v>
      </c>
      <c r="Q91">
        <f t="shared" si="6"/>
        <v>3</v>
      </c>
      <c r="R91" s="25" t="str">
        <f t="shared" si="7"/>
        <v>433</v>
      </c>
      <c r="S91" t="str" cm="1">
        <f t="array" ref="S91">_xlfn.IFS(AND(O91&gt;=4, P91&gt;=4, Q91&gt;=4), "Champions", AND(O91&gt;=3, P91&gt;=4), "Loyal Customers", AND(O91&gt;=4, P91&lt;=2), "New / Promising", AND(O91&lt;=2, P91&gt;=4), "At Risk Loyalists", AND(Q91&gt;=4, P91&lt;=3), "Big Spenders", AND(O91&lt;=2, P91&lt;=2), "Lost / Dormant", TRUE, "Regular Customers")</f>
        <v>Regular Customers</v>
      </c>
      <c r="T91" s="38"/>
    </row>
    <row r="92" spans="1:20" x14ac:dyDescent="0.2">
      <c r="A92" t="s">
        <v>131</v>
      </c>
      <c r="B92" t="s">
        <v>37</v>
      </c>
      <c r="C92" s="28">
        <v>203.56</v>
      </c>
      <c r="D92">
        <v>4</v>
      </c>
      <c r="E92" s="28">
        <v>54.86</v>
      </c>
      <c r="F92">
        <v>29</v>
      </c>
      <c r="G92">
        <v>25.8</v>
      </c>
      <c r="H92">
        <v>5</v>
      </c>
      <c r="I92" t="s">
        <v>24</v>
      </c>
      <c r="J92">
        <v>3</v>
      </c>
      <c r="K92">
        <v>58.5</v>
      </c>
      <c r="L92">
        <v>8.6999999999999993</v>
      </c>
      <c r="M92" t="s">
        <v>29</v>
      </c>
      <c r="N92" t="s">
        <v>40</v>
      </c>
      <c r="O92">
        <f t="shared" si="4"/>
        <v>4</v>
      </c>
      <c r="P92">
        <f t="shared" si="5"/>
        <v>3</v>
      </c>
      <c r="Q92">
        <f t="shared" si="6"/>
        <v>2</v>
      </c>
      <c r="R92" s="25" t="str">
        <f t="shared" si="7"/>
        <v>432</v>
      </c>
      <c r="S92" t="str" cm="1">
        <f t="array" ref="S92">_xlfn.IFS(AND(O92&gt;=4, P92&gt;=4, Q92&gt;=4), "Champions", AND(O92&gt;=3, P92&gt;=4), "Loyal Customers", AND(O92&gt;=4, P92&lt;=2), "New / Promising", AND(O92&lt;=2, P92&gt;=4), "At Risk Loyalists", AND(Q92&gt;=4, P92&lt;=3), "Big Spenders", AND(O92&lt;=2, P92&lt;=2), "Lost / Dormant", TRUE, "Regular Customers")</f>
        <v>Regular Customers</v>
      </c>
      <c r="T92" s="38"/>
    </row>
    <row r="93" spans="1:20" x14ac:dyDescent="0.2">
      <c r="A93" t="s">
        <v>132</v>
      </c>
      <c r="B93" t="s">
        <v>35</v>
      </c>
      <c r="C93" s="28">
        <v>212.62</v>
      </c>
      <c r="D93">
        <v>3</v>
      </c>
      <c r="E93" s="28">
        <v>75.53</v>
      </c>
      <c r="F93">
        <v>132</v>
      </c>
      <c r="G93">
        <v>21</v>
      </c>
      <c r="H93">
        <v>2</v>
      </c>
      <c r="I93" t="s">
        <v>24</v>
      </c>
      <c r="J93">
        <v>5</v>
      </c>
      <c r="K93">
        <v>24.8</v>
      </c>
      <c r="L93">
        <v>8.5</v>
      </c>
      <c r="M93" t="s">
        <v>39</v>
      </c>
      <c r="N93" t="s">
        <v>43</v>
      </c>
      <c r="O93">
        <f t="shared" si="4"/>
        <v>1</v>
      </c>
      <c r="P93">
        <f t="shared" si="5"/>
        <v>2</v>
      </c>
      <c r="Q93">
        <f t="shared" si="6"/>
        <v>3</v>
      </c>
      <c r="R93" s="25" t="str">
        <f t="shared" si="7"/>
        <v>123</v>
      </c>
      <c r="S93" t="str" cm="1">
        <f t="array" ref="S93">_xlfn.IFS(AND(O93&gt;=4, P93&gt;=4, Q93&gt;=4), "Champions", AND(O93&gt;=3, P93&gt;=4), "Loyal Customers", AND(O93&gt;=4, P93&lt;=2), "New / Promising", AND(O93&lt;=2, P93&gt;=4), "At Risk Loyalists", AND(Q93&gt;=4, P93&lt;=3), "Big Spenders", AND(O93&lt;=2, P93&lt;=2), "Lost / Dormant", TRUE, "Regular Customers")</f>
        <v>Lost / Dormant</v>
      </c>
      <c r="T93" s="38"/>
    </row>
    <row r="94" spans="1:20" x14ac:dyDescent="0.2">
      <c r="A94" t="s">
        <v>133</v>
      </c>
      <c r="B94" t="s">
        <v>32</v>
      </c>
      <c r="C94" s="28">
        <v>327.31</v>
      </c>
      <c r="D94">
        <v>7</v>
      </c>
      <c r="E94" s="28">
        <v>46.01</v>
      </c>
      <c r="F94">
        <v>60</v>
      </c>
      <c r="G94">
        <v>50.3</v>
      </c>
      <c r="H94">
        <v>1</v>
      </c>
      <c r="I94" t="s">
        <v>33</v>
      </c>
      <c r="J94">
        <v>0</v>
      </c>
      <c r="K94">
        <v>44.8</v>
      </c>
      <c r="L94">
        <v>15.9</v>
      </c>
      <c r="M94" t="s">
        <v>39</v>
      </c>
      <c r="N94" t="s">
        <v>43</v>
      </c>
      <c r="O94">
        <f t="shared" si="4"/>
        <v>2</v>
      </c>
      <c r="P94">
        <f t="shared" si="5"/>
        <v>5</v>
      </c>
      <c r="Q94">
        <f t="shared" si="6"/>
        <v>4</v>
      </c>
      <c r="R94" s="25" t="str">
        <f t="shared" si="7"/>
        <v>254</v>
      </c>
      <c r="S94" t="str" cm="1">
        <f t="array" ref="S94">_xlfn.IFS(AND(O94&gt;=4, P94&gt;=4, Q94&gt;=4), "Champions", AND(O94&gt;=3, P94&gt;=4), "Loyal Customers", AND(O94&gt;=4, P94&lt;=2), "New / Promising", AND(O94&lt;=2, P94&gt;=4), "At Risk Loyalists", AND(Q94&gt;=4, P94&lt;=3), "Big Spenders", AND(O94&lt;=2, P94&lt;=2), "Lost / Dormant", TRUE, "Regular Customers")</f>
        <v>At Risk Loyalists</v>
      </c>
      <c r="T94" s="38"/>
    </row>
    <row r="95" spans="1:20" x14ac:dyDescent="0.2">
      <c r="A95" t="s">
        <v>134</v>
      </c>
      <c r="B95" t="s">
        <v>58</v>
      </c>
      <c r="C95" s="28">
        <v>106.91</v>
      </c>
      <c r="D95">
        <v>2</v>
      </c>
      <c r="E95" s="28">
        <v>53.35</v>
      </c>
      <c r="F95">
        <v>212</v>
      </c>
      <c r="G95">
        <v>31.5</v>
      </c>
      <c r="H95">
        <v>3</v>
      </c>
      <c r="I95" t="s">
        <v>33</v>
      </c>
      <c r="J95">
        <v>0</v>
      </c>
      <c r="K95">
        <v>13.9</v>
      </c>
      <c r="L95">
        <v>7.3</v>
      </c>
      <c r="M95" t="s">
        <v>29</v>
      </c>
      <c r="N95" t="s">
        <v>45</v>
      </c>
      <c r="O95">
        <f t="shared" si="4"/>
        <v>1</v>
      </c>
      <c r="P95">
        <f t="shared" si="5"/>
        <v>1</v>
      </c>
      <c r="Q95">
        <f t="shared" si="6"/>
        <v>1</v>
      </c>
      <c r="R95" s="25" t="str">
        <f t="shared" si="7"/>
        <v>111</v>
      </c>
      <c r="S95" t="str" cm="1">
        <f t="array" ref="S95">_xlfn.IFS(AND(O95&gt;=4, P95&gt;=4, Q95&gt;=4), "Champions", AND(O95&gt;=3, P95&gt;=4), "Loyal Customers", AND(O95&gt;=4, P95&lt;=2), "New / Promising", AND(O95&lt;=2, P95&gt;=4), "At Risk Loyalists", AND(Q95&gt;=4, P95&lt;=3), "Big Spenders", AND(O95&lt;=2, P95&lt;=2), "Lost / Dormant", TRUE, "Regular Customers")</f>
        <v>Lost / Dormant</v>
      </c>
      <c r="T95" s="38"/>
    </row>
    <row r="96" spans="1:20" x14ac:dyDescent="0.2">
      <c r="A96" t="s">
        <v>135</v>
      </c>
      <c r="B96" t="s">
        <v>32</v>
      </c>
      <c r="C96" s="28">
        <v>164.17</v>
      </c>
      <c r="D96">
        <v>5</v>
      </c>
      <c r="E96" s="28">
        <v>35.25</v>
      </c>
      <c r="F96">
        <v>36</v>
      </c>
      <c r="G96">
        <v>74.099999999999994</v>
      </c>
      <c r="H96">
        <v>3</v>
      </c>
      <c r="I96" t="s">
        <v>33</v>
      </c>
      <c r="J96">
        <v>0</v>
      </c>
      <c r="K96">
        <v>43.5</v>
      </c>
      <c r="L96">
        <v>19.2</v>
      </c>
      <c r="M96" t="s">
        <v>25</v>
      </c>
      <c r="N96" t="s">
        <v>43</v>
      </c>
      <c r="O96">
        <f t="shared" si="4"/>
        <v>3</v>
      </c>
      <c r="P96">
        <f t="shared" si="5"/>
        <v>3</v>
      </c>
      <c r="Q96">
        <f t="shared" si="6"/>
        <v>2</v>
      </c>
      <c r="R96" s="25" t="str">
        <f t="shared" si="7"/>
        <v>332</v>
      </c>
      <c r="S96" t="str" cm="1">
        <f t="array" ref="S96">_xlfn.IFS(AND(O96&gt;=4, P96&gt;=4, Q96&gt;=4), "Champions", AND(O96&gt;=3, P96&gt;=4), "Loyal Customers", AND(O96&gt;=4, P96&lt;=2), "New / Promising", AND(O96&lt;=2, P96&gt;=4), "At Risk Loyalists", AND(Q96&gt;=4, P96&lt;=3), "Big Spenders", AND(O96&lt;=2, P96&lt;=2), "Lost / Dormant", TRUE, "Regular Customers")</f>
        <v>Regular Customers</v>
      </c>
      <c r="T96" s="38"/>
    </row>
    <row r="97" spans="1:20" x14ac:dyDescent="0.2">
      <c r="A97" t="s">
        <v>136</v>
      </c>
      <c r="B97" t="s">
        <v>58</v>
      </c>
      <c r="C97" s="28">
        <v>498.47</v>
      </c>
      <c r="D97">
        <v>8</v>
      </c>
      <c r="E97" s="28">
        <v>64.58</v>
      </c>
      <c r="F97">
        <v>16</v>
      </c>
      <c r="G97">
        <v>4.0999999999999996</v>
      </c>
      <c r="H97">
        <v>3</v>
      </c>
      <c r="I97" t="s">
        <v>24</v>
      </c>
      <c r="J97">
        <v>11</v>
      </c>
      <c r="K97">
        <v>31.2</v>
      </c>
      <c r="L97">
        <v>18.3</v>
      </c>
      <c r="M97" t="s">
        <v>47</v>
      </c>
      <c r="N97" t="s">
        <v>40</v>
      </c>
      <c r="O97">
        <f t="shared" si="4"/>
        <v>5</v>
      </c>
      <c r="P97">
        <f t="shared" si="5"/>
        <v>5</v>
      </c>
      <c r="Q97">
        <f t="shared" si="6"/>
        <v>5</v>
      </c>
      <c r="R97" s="25" t="str">
        <f t="shared" si="7"/>
        <v>555</v>
      </c>
      <c r="S97" t="str" cm="1">
        <f t="array" ref="S97">_xlfn.IFS(AND(O97&gt;=4, P97&gt;=4, Q97&gt;=4), "Champions", AND(O97&gt;=3, P97&gt;=4), "Loyal Customers", AND(O97&gt;=4, P97&lt;=2), "New / Promising", AND(O97&lt;=2, P97&gt;=4), "At Risk Loyalists", AND(Q97&gt;=4, P97&lt;=3), "Big Spenders", AND(O97&lt;=2, P97&lt;=2), "Lost / Dormant", TRUE, "Regular Customers")</f>
        <v>Champions</v>
      </c>
      <c r="T97" s="38"/>
    </row>
    <row r="98" spans="1:20" x14ac:dyDescent="0.2">
      <c r="A98" t="s">
        <v>137</v>
      </c>
      <c r="B98" t="s">
        <v>58</v>
      </c>
      <c r="C98" s="28">
        <v>113.6</v>
      </c>
      <c r="D98">
        <v>2</v>
      </c>
      <c r="E98" s="28">
        <v>58.74</v>
      </c>
      <c r="F98">
        <v>29</v>
      </c>
      <c r="G98">
        <v>11.4</v>
      </c>
      <c r="H98">
        <v>4</v>
      </c>
      <c r="I98" t="s">
        <v>33</v>
      </c>
      <c r="J98">
        <v>0</v>
      </c>
      <c r="K98">
        <v>52.8</v>
      </c>
      <c r="L98">
        <v>26.7</v>
      </c>
      <c r="M98" t="s">
        <v>29</v>
      </c>
      <c r="N98" t="s">
        <v>45</v>
      </c>
      <c r="O98">
        <f t="shared" si="4"/>
        <v>4</v>
      </c>
      <c r="P98">
        <f t="shared" si="5"/>
        <v>1</v>
      </c>
      <c r="Q98">
        <f t="shared" si="6"/>
        <v>1</v>
      </c>
      <c r="R98" s="25" t="str">
        <f t="shared" si="7"/>
        <v>411</v>
      </c>
      <c r="S98" t="str" cm="1">
        <f t="array" ref="S98">_xlfn.IFS(AND(O98&gt;=4, P98&gt;=4, Q98&gt;=4), "Champions", AND(O98&gt;=3, P98&gt;=4), "Loyal Customers", AND(O98&gt;=4, P98&lt;=2), "New / Promising", AND(O98&lt;=2, P98&gt;=4), "At Risk Loyalists", AND(Q98&gt;=4, P98&lt;=3), "Big Spenders", AND(O98&lt;=2, P98&lt;=2), "Lost / Dormant", TRUE, "Regular Customers")</f>
        <v>New / Promising</v>
      </c>
      <c r="T98" s="38"/>
    </row>
    <row r="99" spans="1:20" x14ac:dyDescent="0.2">
      <c r="A99" t="s">
        <v>138</v>
      </c>
      <c r="B99" t="s">
        <v>23</v>
      </c>
      <c r="C99" s="28">
        <v>568.82000000000005</v>
      </c>
      <c r="D99">
        <v>7</v>
      </c>
      <c r="E99" s="28">
        <v>78.709999999999994</v>
      </c>
      <c r="F99">
        <v>14</v>
      </c>
      <c r="G99">
        <v>13.3</v>
      </c>
      <c r="H99">
        <v>3</v>
      </c>
      <c r="I99" t="s">
        <v>24</v>
      </c>
      <c r="J99">
        <v>8</v>
      </c>
      <c r="K99">
        <v>55.8</v>
      </c>
      <c r="L99">
        <v>21.4</v>
      </c>
      <c r="M99" t="s">
        <v>47</v>
      </c>
      <c r="N99" t="s">
        <v>43</v>
      </c>
      <c r="O99">
        <f t="shared" si="4"/>
        <v>5</v>
      </c>
      <c r="P99">
        <f t="shared" si="5"/>
        <v>5</v>
      </c>
      <c r="Q99">
        <f t="shared" si="6"/>
        <v>5</v>
      </c>
      <c r="R99" s="25" t="str">
        <f t="shared" si="7"/>
        <v>555</v>
      </c>
      <c r="S99" t="str" cm="1">
        <f t="array" ref="S99">_xlfn.IFS(AND(O99&gt;=4, P99&gt;=4, Q99&gt;=4), "Champions", AND(O99&gt;=3, P99&gt;=4), "Loyal Customers", AND(O99&gt;=4, P99&lt;=2), "New / Promising", AND(O99&lt;=2, P99&gt;=4), "At Risk Loyalists", AND(Q99&gt;=4, P99&lt;=3), "Big Spenders", AND(O99&lt;=2, P99&lt;=2), "Lost / Dormant", TRUE, "Regular Customers")</f>
        <v>Champions</v>
      </c>
      <c r="T99" s="38"/>
    </row>
    <row r="100" spans="1:20" x14ac:dyDescent="0.2">
      <c r="A100" t="s">
        <v>139</v>
      </c>
      <c r="B100" t="s">
        <v>37</v>
      </c>
      <c r="C100" s="28">
        <v>142.82</v>
      </c>
      <c r="D100">
        <v>3</v>
      </c>
      <c r="E100" s="28">
        <v>44.38</v>
      </c>
      <c r="F100">
        <v>6</v>
      </c>
      <c r="G100">
        <v>8</v>
      </c>
      <c r="H100">
        <v>5</v>
      </c>
      <c r="I100" t="s">
        <v>33</v>
      </c>
      <c r="J100">
        <v>0</v>
      </c>
      <c r="K100">
        <v>53.1</v>
      </c>
      <c r="L100">
        <v>17.600000000000001</v>
      </c>
      <c r="M100" t="s">
        <v>25</v>
      </c>
      <c r="N100" t="s">
        <v>45</v>
      </c>
      <c r="O100">
        <f t="shared" si="4"/>
        <v>5</v>
      </c>
      <c r="P100">
        <f t="shared" si="5"/>
        <v>2</v>
      </c>
      <c r="Q100">
        <f t="shared" si="6"/>
        <v>2</v>
      </c>
      <c r="R100" s="25" t="str">
        <f t="shared" si="7"/>
        <v>522</v>
      </c>
      <c r="S100" t="str" cm="1">
        <f t="array" ref="S100">_xlfn.IFS(AND(O100&gt;=4, P100&gt;=4, Q100&gt;=4), "Champions", AND(O100&gt;=3, P100&gt;=4), "Loyal Customers", AND(O100&gt;=4, P100&lt;=2), "New / Promising", AND(O100&lt;=2, P100&gt;=4), "At Risk Loyalists", AND(Q100&gt;=4, P100&lt;=3), "Big Spenders", AND(O100&lt;=2, P100&lt;=2), "Lost / Dormant", TRUE, "Regular Customers")</f>
        <v>New / Promising</v>
      </c>
      <c r="T100" s="38"/>
    </row>
    <row r="101" spans="1:20" x14ac:dyDescent="0.2">
      <c r="A101" t="s">
        <v>140</v>
      </c>
      <c r="B101" t="s">
        <v>37</v>
      </c>
      <c r="C101" s="28">
        <v>150.56</v>
      </c>
      <c r="D101">
        <v>4</v>
      </c>
      <c r="E101" s="28">
        <v>38.14</v>
      </c>
      <c r="F101">
        <v>72</v>
      </c>
      <c r="G101">
        <v>49.8</v>
      </c>
      <c r="H101">
        <v>3</v>
      </c>
      <c r="I101" t="s">
        <v>24</v>
      </c>
      <c r="J101">
        <v>3</v>
      </c>
      <c r="K101">
        <v>15.9</v>
      </c>
      <c r="L101">
        <v>6.4</v>
      </c>
      <c r="M101" t="s">
        <v>39</v>
      </c>
      <c r="N101" t="s">
        <v>45</v>
      </c>
      <c r="O101">
        <f t="shared" si="4"/>
        <v>2</v>
      </c>
      <c r="P101">
        <f t="shared" si="5"/>
        <v>3</v>
      </c>
      <c r="Q101">
        <f t="shared" si="6"/>
        <v>2</v>
      </c>
      <c r="R101" s="25" t="str">
        <f t="shared" si="7"/>
        <v>232</v>
      </c>
      <c r="S101" t="str" cm="1">
        <f t="array" ref="S101">_xlfn.IFS(AND(O101&gt;=4, P101&gt;=4, Q101&gt;=4), "Champions", AND(O101&gt;=3, P101&gt;=4), "Loyal Customers", AND(O101&gt;=4, P101&lt;=2), "New / Promising", AND(O101&lt;=2, P101&gt;=4), "At Risk Loyalists", AND(Q101&gt;=4, P101&lt;=3), "Big Spenders", AND(O101&lt;=2, P101&lt;=2), "Lost / Dormant", TRUE, "Regular Customers")</f>
        <v>Regular Customers</v>
      </c>
      <c r="T101" s="38"/>
    </row>
    <row r="102" spans="1:20" x14ac:dyDescent="0.2">
      <c r="A102" t="s">
        <v>141</v>
      </c>
      <c r="B102" t="s">
        <v>37</v>
      </c>
      <c r="C102" s="28">
        <v>483.88</v>
      </c>
      <c r="D102">
        <v>7</v>
      </c>
      <c r="E102" s="28">
        <v>70.69</v>
      </c>
      <c r="F102">
        <v>21</v>
      </c>
      <c r="G102">
        <v>12.5</v>
      </c>
      <c r="H102">
        <v>3</v>
      </c>
      <c r="I102" t="s">
        <v>33</v>
      </c>
      <c r="J102">
        <v>0</v>
      </c>
      <c r="K102">
        <v>70.7</v>
      </c>
      <c r="L102">
        <v>21.8</v>
      </c>
      <c r="M102" t="s">
        <v>39</v>
      </c>
      <c r="N102" t="s">
        <v>26</v>
      </c>
      <c r="O102">
        <f t="shared" si="4"/>
        <v>5</v>
      </c>
      <c r="P102">
        <f t="shared" si="5"/>
        <v>5</v>
      </c>
      <c r="Q102">
        <f t="shared" si="6"/>
        <v>5</v>
      </c>
      <c r="R102" s="25" t="str">
        <f t="shared" si="7"/>
        <v>555</v>
      </c>
      <c r="S102" t="str" cm="1">
        <f t="array" ref="S102">_xlfn.IFS(AND(O102&gt;=4, P102&gt;=4, Q102&gt;=4), "Champions", AND(O102&gt;=3, P102&gt;=4), "Loyal Customers", AND(O102&gt;=4, P102&lt;=2), "New / Promising", AND(O102&lt;=2, P102&gt;=4), "At Risk Loyalists", AND(Q102&gt;=4, P102&lt;=3), "Big Spenders", AND(O102&lt;=2, P102&lt;=2), "Lost / Dormant", TRUE, "Regular Customers")</f>
        <v>Champions</v>
      </c>
      <c r="T102" s="38"/>
    </row>
    <row r="103" spans="1:20" x14ac:dyDescent="0.2">
      <c r="A103" t="s">
        <v>142</v>
      </c>
      <c r="B103" t="s">
        <v>35</v>
      </c>
      <c r="C103" s="28">
        <v>104.13</v>
      </c>
      <c r="D103">
        <v>2</v>
      </c>
      <c r="E103" s="28">
        <v>55.23</v>
      </c>
      <c r="F103">
        <v>150</v>
      </c>
      <c r="G103">
        <v>29.1</v>
      </c>
      <c r="H103">
        <v>2</v>
      </c>
      <c r="I103" t="s">
        <v>33</v>
      </c>
      <c r="J103">
        <v>0</v>
      </c>
      <c r="K103">
        <v>24.3</v>
      </c>
      <c r="L103">
        <v>5.2</v>
      </c>
      <c r="M103" t="s">
        <v>25</v>
      </c>
      <c r="N103" t="s">
        <v>40</v>
      </c>
      <c r="O103">
        <f t="shared" si="4"/>
        <v>1</v>
      </c>
      <c r="P103">
        <f t="shared" si="5"/>
        <v>1</v>
      </c>
      <c r="Q103">
        <f t="shared" si="6"/>
        <v>1</v>
      </c>
      <c r="R103" s="25" t="str">
        <f t="shared" si="7"/>
        <v>111</v>
      </c>
      <c r="S103" t="str" cm="1">
        <f t="array" ref="S103">_xlfn.IFS(AND(O103&gt;=4, P103&gt;=4, Q103&gt;=4), "Champions", AND(O103&gt;=3, P103&gt;=4), "Loyal Customers", AND(O103&gt;=4, P103&lt;=2), "New / Promising", AND(O103&lt;=2, P103&gt;=4), "At Risk Loyalists", AND(Q103&gt;=4, P103&lt;=3), "Big Spenders", AND(O103&lt;=2, P103&lt;=2), "Lost / Dormant", TRUE, "Regular Customers")</f>
        <v>Lost / Dormant</v>
      </c>
      <c r="T103" s="38"/>
    </row>
    <row r="104" spans="1:20" x14ac:dyDescent="0.2">
      <c r="A104" t="s">
        <v>143</v>
      </c>
      <c r="B104" t="s">
        <v>23</v>
      </c>
      <c r="C104" s="28">
        <v>179.45</v>
      </c>
      <c r="D104">
        <v>3</v>
      </c>
      <c r="E104" s="28">
        <v>57.7</v>
      </c>
      <c r="F104">
        <v>32</v>
      </c>
      <c r="G104">
        <v>23.9</v>
      </c>
      <c r="H104">
        <v>3</v>
      </c>
      <c r="I104" t="s">
        <v>33</v>
      </c>
      <c r="J104">
        <v>0</v>
      </c>
      <c r="K104">
        <v>28.4</v>
      </c>
      <c r="L104">
        <v>16.7</v>
      </c>
      <c r="M104" t="s">
        <v>29</v>
      </c>
      <c r="N104" t="s">
        <v>30</v>
      </c>
      <c r="O104">
        <f t="shared" si="4"/>
        <v>4</v>
      </c>
      <c r="P104">
        <f t="shared" si="5"/>
        <v>2</v>
      </c>
      <c r="Q104">
        <f t="shared" si="6"/>
        <v>2</v>
      </c>
      <c r="R104" s="25" t="str">
        <f t="shared" si="7"/>
        <v>422</v>
      </c>
      <c r="S104" t="str" cm="1">
        <f t="array" ref="S104">_xlfn.IFS(AND(O104&gt;=4, P104&gt;=4, Q104&gt;=4), "Champions", AND(O104&gt;=3, P104&gt;=4), "Loyal Customers", AND(O104&gt;=4, P104&lt;=2), "New / Promising", AND(O104&lt;=2, P104&gt;=4), "At Risk Loyalists", AND(Q104&gt;=4, P104&lt;=3), "Big Spenders", AND(O104&lt;=2, P104&lt;=2), "Lost / Dormant", TRUE, "Regular Customers")</f>
        <v>New / Promising</v>
      </c>
      <c r="T104" s="38"/>
    </row>
    <row r="105" spans="1:20" x14ac:dyDescent="0.2">
      <c r="A105" t="s">
        <v>144</v>
      </c>
      <c r="B105" t="s">
        <v>58</v>
      </c>
      <c r="C105" s="28">
        <v>188.99</v>
      </c>
      <c r="D105">
        <v>3</v>
      </c>
      <c r="E105" s="28">
        <v>60.13</v>
      </c>
      <c r="F105">
        <v>219</v>
      </c>
      <c r="G105">
        <v>15.5</v>
      </c>
      <c r="H105">
        <v>1</v>
      </c>
      <c r="I105" t="s">
        <v>33</v>
      </c>
      <c r="J105">
        <v>0</v>
      </c>
      <c r="K105">
        <v>29.4</v>
      </c>
      <c r="L105">
        <v>4.2</v>
      </c>
      <c r="M105" t="s">
        <v>25</v>
      </c>
      <c r="N105" t="s">
        <v>45</v>
      </c>
      <c r="O105">
        <f t="shared" si="4"/>
        <v>1</v>
      </c>
      <c r="P105">
        <f t="shared" si="5"/>
        <v>2</v>
      </c>
      <c r="Q105">
        <f t="shared" si="6"/>
        <v>2</v>
      </c>
      <c r="R105" s="25" t="str">
        <f t="shared" si="7"/>
        <v>122</v>
      </c>
      <c r="S105" t="str" cm="1">
        <f t="array" ref="S105">_xlfn.IFS(AND(O105&gt;=4, P105&gt;=4, Q105&gt;=4), "Champions", AND(O105&gt;=3, P105&gt;=4), "Loyal Customers", AND(O105&gt;=4, P105&lt;=2), "New / Promising", AND(O105&lt;=2, P105&gt;=4), "At Risk Loyalists", AND(Q105&gt;=4, P105&lt;=3), "Big Spenders", AND(O105&lt;=2, P105&lt;=2), "Lost / Dormant", TRUE, "Regular Customers")</f>
        <v>Lost / Dormant</v>
      </c>
      <c r="T105" s="38"/>
    </row>
    <row r="106" spans="1:20" x14ac:dyDescent="0.2">
      <c r="A106" t="s">
        <v>145</v>
      </c>
      <c r="B106" t="s">
        <v>28</v>
      </c>
      <c r="C106" s="28">
        <v>436.97</v>
      </c>
      <c r="D106">
        <v>7</v>
      </c>
      <c r="E106" s="28">
        <v>60.6</v>
      </c>
      <c r="F106">
        <v>32</v>
      </c>
      <c r="G106">
        <v>28.6</v>
      </c>
      <c r="H106">
        <v>5</v>
      </c>
      <c r="I106" t="s">
        <v>24</v>
      </c>
      <c r="J106">
        <v>2</v>
      </c>
      <c r="K106">
        <v>59.7</v>
      </c>
      <c r="L106">
        <v>20.9</v>
      </c>
      <c r="M106" t="s">
        <v>25</v>
      </c>
      <c r="N106" t="s">
        <v>43</v>
      </c>
      <c r="O106">
        <f t="shared" si="4"/>
        <v>4</v>
      </c>
      <c r="P106">
        <f t="shared" si="5"/>
        <v>5</v>
      </c>
      <c r="Q106">
        <f t="shared" si="6"/>
        <v>4</v>
      </c>
      <c r="R106" s="25" t="str">
        <f t="shared" si="7"/>
        <v>454</v>
      </c>
      <c r="S106" t="str" cm="1">
        <f t="array" ref="S106">_xlfn.IFS(AND(O106&gt;=4, P106&gt;=4, Q106&gt;=4), "Champions", AND(O106&gt;=3, P106&gt;=4), "Loyal Customers", AND(O106&gt;=4, P106&lt;=2), "New / Promising", AND(O106&lt;=2, P106&gt;=4), "At Risk Loyalists", AND(Q106&gt;=4, P106&lt;=3), "Big Spenders", AND(O106&lt;=2, P106&lt;=2), "Lost / Dormant", TRUE, "Regular Customers")</f>
        <v>Champions</v>
      </c>
      <c r="T106" s="38"/>
    </row>
    <row r="107" spans="1:20" x14ac:dyDescent="0.2">
      <c r="A107" t="s">
        <v>146</v>
      </c>
      <c r="B107" t="s">
        <v>23</v>
      </c>
      <c r="C107" s="28">
        <v>116.18</v>
      </c>
      <c r="D107">
        <v>3</v>
      </c>
      <c r="E107" s="28">
        <v>41.91</v>
      </c>
      <c r="F107">
        <v>90</v>
      </c>
      <c r="G107">
        <v>17.899999999999999</v>
      </c>
      <c r="H107">
        <v>1</v>
      </c>
      <c r="I107" t="s">
        <v>33</v>
      </c>
      <c r="J107">
        <v>0</v>
      </c>
      <c r="K107">
        <v>14.3</v>
      </c>
      <c r="L107">
        <v>3.7</v>
      </c>
      <c r="M107" t="s">
        <v>55</v>
      </c>
      <c r="N107" t="s">
        <v>45</v>
      </c>
      <c r="O107">
        <f t="shared" si="4"/>
        <v>2</v>
      </c>
      <c r="P107">
        <f t="shared" si="5"/>
        <v>2</v>
      </c>
      <c r="Q107">
        <f t="shared" si="6"/>
        <v>1</v>
      </c>
      <c r="R107" s="25" t="str">
        <f t="shared" si="7"/>
        <v>221</v>
      </c>
      <c r="S107" t="str" cm="1">
        <f t="array" ref="S107">_xlfn.IFS(AND(O107&gt;=4, P107&gt;=4, Q107&gt;=4), "Champions", AND(O107&gt;=3, P107&gt;=4), "Loyal Customers", AND(O107&gt;=4, P107&lt;=2), "New / Promising", AND(O107&lt;=2, P107&gt;=4), "At Risk Loyalists", AND(Q107&gt;=4, P107&lt;=3), "Big Spenders", AND(O107&lt;=2, P107&lt;=2), "Lost / Dormant", TRUE, "Regular Customers")</f>
        <v>Lost / Dormant</v>
      </c>
      <c r="T107" s="38"/>
    </row>
    <row r="108" spans="1:20" x14ac:dyDescent="0.2">
      <c r="A108" t="s">
        <v>147</v>
      </c>
      <c r="B108" t="s">
        <v>23</v>
      </c>
      <c r="C108" s="28">
        <v>274.04000000000002</v>
      </c>
      <c r="D108">
        <v>4</v>
      </c>
      <c r="E108" s="28">
        <v>71.75</v>
      </c>
      <c r="F108">
        <v>130</v>
      </c>
      <c r="G108">
        <v>16.399999999999999</v>
      </c>
      <c r="H108">
        <v>1</v>
      </c>
      <c r="I108" t="s">
        <v>33</v>
      </c>
      <c r="J108">
        <v>0</v>
      </c>
      <c r="K108">
        <v>15.6</v>
      </c>
      <c r="L108">
        <v>0.1</v>
      </c>
      <c r="M108" t="s">
        <v>29</v>
      </c>
      <c r="N108" t="s">
        <v>43</v>
      </c>
      <c r="O108">
        <f t="shared" si="4"/>
        <v>1</v>
      </c>
      <c r="P108">
        <f t="shared" si="5"/>
        <v>3</v>
      </c>
      <c r="Q108">
        <f t="shared" si="6"/>
        <v>3</v>
      </c>
      <c r="R108" s="25" t="str">
        <f t="shared" si="7"/>
        <v>133</v>
      </c>
      <c r="S108" t="str" cm="1">
        <f t="array" ref="S108">_xlfn.IFS(AND(O108&gt;=4, P108&gt;=4, Q108&gt;=4), "Champions", AND(O108&gt;=3, P108&gt;=4), "Loyal Customers", AND(O108&gt;=4, P108&lt;=2), "New / Promising", AND(O108&lt;=2, P108&gt;=4), "At Risk Loyalists", AND(Q108&gt;=4, P108&lt;=3), "Big Spenders", AND(O108&lt;=2, P108&lt;=2), "Lost / Dormant", TRUE, "Regular Customers")</f>
        <v>Regular Customers</v>
      </c>
      <c r="T108" s="38"/>
    </row>
    <row r="109" spans="1:20" x14ac:dyDescent="0.2">
      <c r="A109" t="s">
        <v>148</v>
      </c>
      <c r="B109" t="s">
        <v>32</v>
      </c>
      <c r="C109" s="28">
        <v>434.36</v>
      </c>
      <c r="D109">
        <v>7</v>
      </c>
      <c r="E109" s="28">
        <v>57.76</v>
      </c>
      <c r="F109">
        <v>20</v>
      </c>
      <c r="G109">
        <v>28.8</v>
      </c>
      <c r="H109">
        <v>5</v>
      </c>
      <c r="I109" t="s">
        <v>33</v>
      </c>
      <c r="J109">
        <v>0</v>
      </c>
      <c r="K109">
        <v>48.1</v>
      </c>
      <c r="L109">
        <v>10.6</v>
      </c>
      <c r="M109" t="s">
        <v>47</v>
      </c>
      <c r="N109" t="s">
        <v>26</v>
      </c>
      <c r="O109">
        <f t="shared" si="4"/>
        <v>5</v>
      </c>
      <c r="P109">
        <f t="shared" si="5"/>
        <v>5</v>
      </c>
      <c r="Q109">
        <f t="shared" si="6"/>
        <v>4</v>
      </c>
      <c r="R109" s="25" t="str">
        <f t="shared" si="7"/>
        <v>554</v>
      </c>
      <c r="S109" t="str" cm="1">
        <f t="array" ref="S109">_xlfn.IFS(AND(O109&gt;=4, P109&gt;=4, Q109&gt;=4), "Champions", AND(O109&gt;=3, P109&gt;=4), "Loyal Customers", AND(O109&gt;=4, P109&lt;=2), "New / Promising", AND(O109&lt;=2, P109&gt;=4), "At Risk Loyalists", AND(Q109&gt;=4, P109&lt;=3), "Big Spenders", AND(O109&lt;=2, P109&lt;=2), "Lost / Dormant", TRUE, "Regular Customers")</f>
        <v>Champions</v>
      </c>
      <c r="T109" s="38"/>
    </row>
    <row r="110" spans="1:20" x14ac:dyDescent="0.2">
      <c r="A110" t="s">
        <v>149</v>
      </c>
      <c r="B110" t="s">
        <v>37</v>
      </c>
      <c r="C110" s="28">
        <v>527.16999999999996</v>
      </c>
      <c r="D110">
        <v>7</v>
      </c>
      <c r="E110" s="28">
        <v>70.900000000000006</v>
      </c>
      <c r="F110">
        <v>19</v>
      </c>
      <c r="G110">
        <v>11.5</v>
      </c>
      <c r="H110">
        <v>3</v>
      </c>
      <c r="I110" t="s">
        <v>24</v>
      </c>
      <c r="J110">
        <v>18</v>
      </c>
      <c r="K110">
        <v>54.9</v>
      </c>
      <c r="L110">
        <v>17.100000000000001</v>
      </c>
      <c r="M110" t="s">
        <v>29</v>
      </c>
      <c r="N110" t="s">
        <v>40</v>
      </c>
      <c r="O110">
        <f t="shared" si="4"/>
        <v>5</v>
      </c>
      <c r="P110">
        <f t="shared" si="5"/>
        <v>5</v>
      </c>
      <c r="Q110">
        <f t="shared" si="6"/>
        <v>5</v>
      </c>
      <c r="R110" s="25" t="str">
        <f t="shared" si="7"/>
        <v>555</v>
      </c>
      <c r="S110" t="str" cm="1">
        <f t="array" ref="S110">_xlfn.IFS(AND(O110&gt;=4, P110&gt;=4, Q110&gt;=4), "Champions", AND(O110&gt;=3, P110&gt;=4), "Loyal Customers", AND(O110&gt;=4, P110&lt;=2), "New / Promising", AND(O110&lt;=2, P110&gt;=4), "At Risk Loyalists", AND(Q110&gt;=4, P110&lt;=3), "Big Spenders", AND(O110&lt;=2, P110&lt;=2), "Lost / Dormant", TRUE, "Regular Customers")</f>
        <v>Champions</v>
      </c>
      <c r="T110" s="38"/>
    </row>
    <row r="111" spans="1:20" x14ac:dyDescent="0.2">
      <c r="A111" t="s">
        <v>150</v>
      </c>
      <c r="B111" t="s">
        <v>37</v>
      </c>
      <c r="C111" s="28">
        <v>362.06</v>
      </c>
      <c r="D111">
        <v>8</v>
      </c>
      <c r="E111" s="28">
        <v>44.96</v>
      </c>
      <c r="F111">
        <v>48</v>
      </c>
      <c r="G111">
        <v>46.7</v>
      </c>
      <c r="H111">
        <v>1</v>
      </c>
      <c r="I111" t="s">
        <v>33</v>
      </c>
      <c r="J111">
        <v>0</v>
      </c>
      <c r="K111">
        <v>26.7</v>
      </c>
      <c r="L111">
        <v>10.7</v>
      </c>
      <c r="M111" t="s">
        <v>47</v>
      </c>
      <c r="N111" t="s">
        <v>26</v>
      </c>
      <c r="O111">
        <f t="shared" si="4"/>
        <v>3</v>
      </c>
      <c r="P111">
        <f t="shared" si="5"/>
        <v>5</v>
      </c>
      <c r="Q111">
        <f t="shared" si="6"/>
        <v>4</v>
      </c>
      <c r="R111" s="25" t="str">
        <f t="shared" si="7"/>
        <v>354</v>
      </c>
      <c r="S111" t="str" cm="1">
        <f t="array" ref="S111">_xlfn.IFS(AND(O111&gt;=4, P111&gt;=4, Q111&gt;=4), "Champions", AND(O111&gt;=3, P111&gt;=4), "Loyal Customers", AND(O111&gt;=4, P111&lt;=2), "New / Promising", AND(O111&lt;=2, P111&gt;=4), "At Risk Loyalists", AND(Q111&gt;=4, P111&lt;=3), "Big Spenders", AND(O111&lt;=2, P111&lt;=2), "Lost / Dormant", TRUE, "Regular Customers")</f>
        <v>Loyal Customers</v>
      </c>
      <c r="T111" s="38"/>
    </row>
    <row r="112" spans="1:20" x14ac:dyDescent="0.2">
      <c r="A112" t="s">
        <v>151</v>
      </c>
      <c r="B112" t="s">
        <v>23</v>
      </c>
      <c r="C112" s="28">
        <v>382.33</v>
      </c>
      <c r="D112">
        <v>5</v>
      </c>
      <c r="E112" s="28">
        <v>78.38</v>
      </c>
      <c r="F112">
        <v>2</v>
      </c>
      <c r="G112">
        <v>15</v>
      </c>
      <c r="H112">
        <v>3</v>
      </c>
      <c r="I112" t="s">
        <v>24</v>
      </c>
      <c r="J112">
        <v>6</v>
      </c>
      <c r="K112">
        <v>45.6</v>
      </c>
      <c r="L112">
        <v>16.3</v>
      </c>
      <c r="M112" t="s">
        <v>47</v>
      </c>
      <c r="N112" t="s">
        <v>43</v>
      </c>
      <c r="O112">
        <f t="shared" si="4"/>
        <v>5</v>
      </c>
      <c r="P112">
        <f t="shared" si="5"/>
        <v>3</v>
      </c>
      <c r="Q112">
        <f t="shared" si="6"/>
        <v>4</v>
      </c>
      <c r="R112" s="25" t="str">
        <f t="shared" si="7"/>
        <v>534</v>
      </c>
      <c r="S112" t="str" cm="1">
        <f t="array" ref="S112">_xlfn.IFS(AND(O112&gt;=4, P112&gt;=4, Q112&gt;=4), "Champions", AND(O112&gt;=3, P112&gt;=4), "Loyal Customers", AND(O112&gt;=4, P112&lt;=2), "New / Promising", AND(O112&lt;=2, P112&gt;=4), "At Risk Loyalists", AND(Q112&gt;=4, P112&lt;=3), "Big Spenders", AND(O112&lt;=2, P112&lt;=2), "Lost / Dormant", TRUE, "Regular Customers")</f>
        <v>Big Spenders</v>
      </c>
      <c r="T112" s="38"/>
    </row>
    <row r="113" spans="1:20" x14ac:dyDescent="0.2">
      <c r="A113" t="s">
        <v>152</v>
      </c>
      <c r="B113" t="s">
        <v>37</v>
      </c>
      <c r="C113" s="28">
        <v>244.41</v>
      </c>
      <c r="D113">
        <v>5</v>
      </c>
      <c r="E113" s="28">
        <v>48.35</v>
      </c>
      <c r="F113">
        <v>72</v>
      </c>
      <c r="G113">
        <v>28.4</v>
      </c>
      <c r="H113">
        <v>4</v>
      </c>
      <c r="I113" t="s">
        <v>33</v>
      </c>
      <c r="J113">
        <v>0</v>
      </c>
      <c r="K113">
        <v>50.9</v>
      </c>
      <c r="L113">
        <v>17.5</v>
      </c>
      <c r="M113" t="s">
        <v>47</v>
      </c>
      <c r="N113" t="s">
        <v>40</v>
      </c>
      <c r="O113">
        <f t="shared" si="4"/>
        <v>2</v>
      </c>
      <c r="P113">
        <f t="shared" si="5"/>
        <v>3</v>
      </c>
      <c r="Q113">
        <f t="shared" si="6"/>
        <v>3</v>
      </c>
      <c r="R113" s="25" t="str">
        <f t="shared" si="7"/>
        <v>233</v>
      </c>
      <c r="S113" t="str" cm="1">
        <f t="array" ref="S113">_xlfn.IFS(AND(O113&gt;=4, P113&gt;=4, Q113&gt;=4), "Champions", AND(O113&gt;=3, P113&gt;=4), "Loyal Customers", AND(O113&gt;=4, P113&lt;=2), "New / Promising", AND(O113&lt;=2, P113&gt;=4), "At Risk Loyalists", AND(Q113&gt;=4, P113&lt;=3), "Big Spenders", AND(O113&lt;=2, P113&lt;=2), "Lost / Dormant", TRUE, "Regular Customers")</f>
        <v>Regular Customers</v>
      </c>
      <c r="T113" s="38"/>
    </row>
    <row r="114" spans="1:20" x14ac:dyDescent="0.2">
      <c r="A114" t="s">
        <v>153</v>
      </c>
      <c r="B114" t="s">
        <v>28</v>
      </c>
      <c r="C114" s="28">
        <v>132.34</v>
      </c>
      <c r="D114">
        <v>2</v>
      </c>
      <c r="E114" s="28">
        <v>62.47</v>
      </c>
      <c r="F114">
        <v>33</v>
      </c>
      <c r="G114">
        <v>21.3</v>
      </c>
      <c r="H114">
        <v>6</v>
      </c>
      <c r="I114" t="s">
        <v>24</v>
      </c>
      <c r="J114">
        <v>3</v>
      </c>
      <c r="K114">
        <v>50.7</v>
      </c>
      <c r="L114">
        <v>21.8</v>
      </c>
      <c r="M114" t="s">
        <v>39</v>
      </c>
      <c r="N114" t="s">
        <v>40</v>
      </c>
      <c r="O114">
        <f t="shared" si="4"/>
        <v>3</v>
      </c>
      <c r="P114">
        <f t="shared" si="5"/>
        <v>1</v>
      </c>
      <c r="Q114">
        <f t="shared" si="6"/>
        <v>2</v>
      </c>
      <c r="R114" s="25" t="str">
        <f t="shared" si="7"/>
        <v>312</v>
      </c>
      <c r="S114" t="str" cm="1">
        <f t="array" ref="S114">_xlfn.IFS(AND(O114&gt;=4, P114&gt;=4, Q114&gt;=4), "Champions", AND(O114&gt;=3, P114&gt;=4), "Loyal Customers", AND(O114&gt;=4, P114&lt;=2), "New / Promising", AND(O114&lt;=2, P114&gt;=4), "At Risk Loyalists", AND(Q114&gt;=4, P114&lt;=3), "Big Spenders", AND(O114&lt;=2, P114&lt;=2), "Lost / Dormant", TRUE, "Regular Customers")</f>
        <v>Regular Customers</v>
      </c>
      <c r="T114" s="38"/>
    </row>
    <row r="115" spans="1:20" x14ac:dyDescent="0.2">
      <c r="A115" t="s">
        <v>154</v>
      </c>
      <c r="B115" t="s">
        <v>32</v>
      </c>
      <c r="C115" s="28">
        <v>586.58000000000004</v>
      </c>
      <c r="D115">
        <v>8</v>
      </c>
      <c r="E115" s="28">
        <v>68.08</v>
      </c>
      <c r="F115">
        <v>19</v>
      </c>
      <c r="G115">
        <v>13.6</v>
      </c>
      <c r="H115">
        <v>4</v>
      </c>
      <c r="I115" t="s">
        <v>33</v>
      </c>
      <c r="J115">
        <v>0</v>
      </c>
      <c r="K115">
        <v>51.6</v>
      </c>
      <c r="L115">
        <v>15.4</v>
      </c>
      <c r="M115" t="s">
        <v>39</v>
      </c>
      <c r="N115" t="s">
        <v>30</v>
      </c>
      <c r="O115">
        <f t="shared" si="4"/>
        <v>5</v>
      </c>
      <c r="P115">
        <f t="shared" si="5"/>
        <v>5</v>
      </c>
      <c r="Q115">
        <f t="shared" si="6"/>
        <v>5</v>
      </c>
      <c r="R115" s="25" t="str">
        <f t="shared" si="7"/>
        <v>555</v>
      </c>
      <c r="S115" t="str" cm="1">
        <f t="array" ref="S115">_xlfn.IFS(AND(O115&gt;=4, P115&gt;=4, Q115&gt;=4), "Champions", AND(O115&gt;=3, P115&gt;=4), "Loyal Customers", AND(O115&gt;=4, P115&lt;=2), "New / Promising", AND(O115&lt;=2, P115&gt;=4), "At Risk Loyalists", AND(Q115&gt;=4, P115&lt;=3), "Big Spenders", AND(O115&lt;=2, P115&lt;=2), "Lost / Dormant", TRUE, "Regular Customers")</f>
        <v>Champions</v>
      </c>
      <c r="T115" s="38"/>
    </row>
    <row r="116" spans="1:20" x14ac:dyDescent="0.2">
      <c r="A116" t="s">
        <v>155</v>
      </c>
      <c r="B116" t="s">
        <v>35</v>
      </c>
      <c r="C116" s="28">
        <v>67.27</v>
      </c>
      <c r="D116">
        <v>1</v>
      </c>
      <c r="E116" s="28">
        <v>68.510000000000005</v>
      </c>
      <c r="F116">
        <v>60</v>
      </c>
      <c r="G116">
        <v>21.5</v>
      </c>
      <c r="H116">
        <v>3</v>
      </c>
      <c r="I116" t="s">
        <v>33</v>
      </c>
      <c r="J116">
        <v>0</v>
      </c>
      <c r="K116">
        <v>27.1</v>
      </c>
      <c r="L116">
        <v>2.8</v>
      </c>
      <c r="M116" t="s">
        <v>29</v>
      </c>
      <c r="N116" t="s">
        <v>30</v>
      </c>
      <c r="O116">
        <f t="shared" si="4"/>
        <v>2</v>
      </c>
      <c r="P116">
        <f t="shared" si="5"/>
        <v>1</v>
      </c>
      <c r="Q116">
        <f t="shared" si="6"/>
        <v>1</v>
      </c>
      <c r="R116" s="25" t="str">
        <f t="shared" si="7"/>
        <v>211</v>
      </c>
      <c r="S116" t="str" cm="1">
        <f t="array" ref="S116">_xlfn.IFS(AND(O116&gt;=4, P116&gt;=4, Q116&gt;=4), "Champions", AND(O116&gt;=3, P116&gt;=4), "Loyal Customers", AND(O116&gt;=4, P116&lt;=2), "New / Promising", AND(O116&lt;=2, P116&gt;=4), "At Risk Loyalists", AND(Q116&gt;=4, P116&lt;=3), "Big Spenders", AND(O116&lt;=2, P116&lt;=2), "Lost / Dormant", TRUE, "Regular Customers")</f>
        <v>Lost / Dormant</v>
      </c>
      <c r="T116" s="38"/>
    </row>
    <row r="117" spans="1:20" x14ac:dyDescent="0.2">
      <c r="A117" t="s">
        <v>156</v>
      </c>
      <c r="B117" t="s">
        <v>32</v>
      </c>
      <c r="C117" s="28">
        <v>185.06</v>
      </c>
      <c r="D117">
        <v>2</v>
      </c>
      <c r="E117" s="28">
        <v>86.24</v>
      </c>
      <c r="F117">
        <v>39</v>
      </c>
      <c r="G117">
        <v>36.6</v>
      </c>
      <c r="H117">
        <v>4</v>
      </c>
      <c r="I117" t="s">
        <v>33</v>
      </c>
      <c r="J117">
        <v>0</v>
      </c>
      <c r="K117">
        <v>50.9</v>
      </c>
      <c r="L117">
        <v>15.1</v>
      </c>
      <c r="M117" t="s">
        <v>55</v>
      </c>
      <c r="N117" t="s">
        <v>43</v>
      </c>
      <c r="O117">
        <f t="shared" si="4"/>
        <v>3</v>
      </c>
      <c r="P117">
        <f t="shared" si="5"/>
        <v>1</v>
      </c>
      <c r="Q117">
        <f t="shared" si="6"/>
        <v>2</v>
      </c>
      <c r="R117" s="25" t="str">
        <f t="shared" si="7"/>
        <v>312</v>
      </c>
      <c r="S117" t="str" cm="1">
        <f t="array" ref="S117">_xlfn.IFS(AND(O117&gt;=4, P117&gt;=4, Q117&gt;=4), "Champions", AND(O117&gt;=3, P117&gt;=4), "Loyal Customers", AND(O117&gt;=4, P117&lt;=2), "New / Promising", AND(O117&lt;=2, P117&gt;=4), "At Risk Loyalists", AND(Q117&gt;=4, P117&lt;=3), "Big Spenders", AND(O117&lt;=2, P117&lt;=2), "Lost / Dormant", TRUE, "Regular Customers")</f>
        <v>Regular Customers</v>
      </c>
      <c r="T117" s="38"/>
    </row>
    <row r="118" spans="1:20" x14ac:dyDescent="0.2">
      <c r="A118" t="s">
        <v>157</v>
      </c>
      <c r="B118" t="s">
        <v>32</v>
      </c>
      <c r="C118" s="28">
        <v>701.44</v>
      </c>
      <c r="D118">
        <v>10</v>
      </c>
      <c r="E118" s="28">
        <v>70.03</v>
      </c>
      <c r="F118">
        <v>21</v>
      </c>
      <c r="G118">
        <v>11.1</v>
      </c>
      <c r="H118">
        <v>5</v>
      </c>
      <c r="I118" t="s">
        <v>33</v>
      </c>
      <c r="J118">
        <v>0</v>
      </c>
      <c r="K118">
        <v>54.4</v>
      </c>
      <c r="L118">
        <v>21</v>
      </c>
      <c r="M118" t="s">
        <v>53</v>
      </c>
      <c r="N118" t="s">
        <v>43</v>
      </c>
      <c r="O118">
        <f t="shared" si="4"/>
        <v>5</v>
      </c>
      <c r="P118">
        <f t="shared" si="5"/>
        <v>5</v>
      </c>
      <c r="Q118">
        <f t="shared" si="6"/>
        <v>5</v>
      </c>
      <c r="R118" s="25" t="str">
        <f t="shared" si="7"/>
        <v>555</v>
      </c>
      <c r="S118" t="str" cm="1">
        <f t="array" ref="S118">_xlfn.IFS(AND(O118&gt;=4, P118&gt;=4, Q118&gt;=4), "Champions", AND(O118&gt;=3, P118&gt;=4), "Loyal Customers", AND(O118&gt;=4, P118&lt;=2), "New / Promising", AND(O118&lt;=2, P118&gt;=4), "At Risk Loyalists", AND(Q118&gt;=4, P118&lt;=3), "Big Spenders", AND(O118&lt;=2, P118&lt;=2), "Lost / Dormant", TRUE, "Regular Customers")</f>
        <v>Champions</v>
      </c>
      <c r="T118" s="38"/>
    </row>
    <row r="119" spans="1:20" x14ac:dyDescent="0.2">
      <c r="A119" t="s">
        <v>158</v>
      </c>
      <c r="B119" t="s">
        <v>37</v>
      </c>
      <c r="C119" s="28">
        <v>168.12</v>
      </c>
      <c r="D119">
        <v>3</v>
      </c>
      <c r="E119" s="28">
        <v>57.34</v>
      </c>
      <c r="F119">
        <v>122</v>
      </c>
      <c r="G119">
        <v>21.8</v>
      </c>
      <c r="H119">
        <v>3</v>
      </c>
      <c r="I119" t="s">
        <v>33</v>
      </c>
      <c r="J119">
        <v>0</v>
      </c>
      <c r="K119">
        <v>29.6</v>
      </c>
      <c r="L119">
        <v>3.8</v>
      </c>
      <c r="M119" t="s">
        <v>55</v>
      </c>
      <c r="N119" t="s">
        <v>43</v>
      </c>
      <c r="O119">
        <f t="shared" si="4"/>
        <v>1</v>
      </c>
      <c r="P119">
        <f t="shared" si="5"/>
        <v>2</v>
      </c>
      <c r="Q119">
        <f t="shared" si="6"/>
        <v>2</v>
      </c>
      <c r="R119" s="25" t="str">
        <f t="shared" si="7"/>
        <v>122</v>
      </c>
      <c r="S119" t="str" cm="1">
        <f t="array" ref="S119">_xlfn.IFS(AND(O119&gt;=4, P119&gt;=4, Q119&gt;=4), "Champions", AND(O119&gt;=3, P119&gt;=4), "Loyal Customers", AND(O119&gt;=4, P119&lt;=2), "New / Promising", AND(O119&lt;=2, P119&gt;=4), "At Risk Loyalists", AND(Q119&gt;=4, P119&lt;=3), "Big Spenders", AND(O119&lt;=2, P119&lt;=2), "Lost / Dormant", TRUE, "Regular Customers")</f>
        <v>Lost / Dormant</v>
      </c>
      <c r="T119" s="38"/>
    </row>
    <row r="120" spans="1:20" x14ac:dyDescent="0.2">
      <c r="A120" t="s">
        <v>159</v>
      </c>
      <c r="B120" t="s">
        <v>32</v>
      </c>
      <c r="C120" s="28">
        <v>163.84</v>
      </c>
      <c r="D120">
        <v>3</v>
      </c>
      <c r="E120" s="28">
        <v>52.36</v>
      </c>
      <c r="F120">
        <v>52</v>
      </c>
      <c r="G120">
        <v>34.6</v>
      </c>
      <c r="H120">
        <v>5</v>
      </c>
      <c r="I120" t="s">
        <v>24</v>
      </c>
      <c r="J120">
        <v>9</v>
      </c>
      <c r="K120">
        <v>55.2</v>
      </c>
      <c r="L120">
        <v>15.1</v>
      </c>
      <c r="M120" t="s">
        <v>25</v>
      </c>
      <c r="N120" t="s">
        <v>30</v>
      </c>
      <c r="O120">
        <f t="shared" si="4"/>
        <v>2</v>
      </c>
      <c r="P120">
        <f t="shared" si="5"/>
        <v>2</v>
      </c>
      <c r="Q120">
        <f t="shared" si="6"/>
        <v>2</v>
      </c>
      <c r="R120" s="25" t="str">
        <f t="shared" si="7"/>
        <v>222</v>
      </c>
      <c r="S120" t="str" cm="1">
        <f t="array" ref="S120">_xlfn.IFS(AND(O120&gt;=4, P120&gt;=4, Q120&gt;=4), "Champions", AND(O120&gt;=3, P120&gt;=4), "Loyal Customers", AND(O120&gt;=4, P120&lt;=2), "New / Promising", AND(O120&lt;=2, P120&gt;=4), "At Risk Loyalists", AND(Q120&gt;=4, P120&lt;=3), "Big Spenders", AND(O120&lt;=2, P120&lt;=2), "Lost / Dormant", TRUE, "Regular Customers")</f>
        <v>Lost / Dormant</v>
      </c>
      <c r="T120" s="38"/>
    </row>
    <row r="121" spans="1:20" x14ac:dyDescent="0.2">
      <c r="A121" t="s">
        <v>160</v>
      </c>
      <c r="B121" t="s">
        <v>58</v>
      </c>
      <c r="C121" s="28">
        <v>468.38</v>
      </c>
      <c r="D121">
        <v>6</v>
      </c>
      <c r="E121" s="28">
        <v>83.89</v>
      </c>
      <c r="F121">
        <v>28</v>
      </c>
      <c r="G121">
        <v>16.2</v>
      </c>
      <c r="H121">
        <v>5</v>
      </c>
      <c r="I121" t="s">
        <v>24</v>
      </c>
      <c r="J121">
        <v>8</v>
      </c>
      <c r="K121">
        <v>55.7</v>
      </c>
      <c r="L121">
        <v>7.8</v>
      </c>
      <c r="M121" t="s">
        <v>47</v>
      </c>
      <c r="N121" t="s">
        <v>45</v>
      </c>
      <c r="O121">
        <f t="shared" si="4"/>
        <v>4</v>
      </c>
      <c r="P121">
        <f t="shared" si="5"/>
        <v>4</v>
      </c>
      <c r="Q121">
        <f t="shared" si="6"/>
        <v>4</v>
      </c>
      <c r="R121" s="25" t="str">
        <f t="shared" si="7"/>
        <v>444</v>
      </c>
      <c r="S121" t="str" cm="1">
        <f t="array" ref="S121">_xlfn.IFS(AND(O121&gt;=4, P121&gt;=4, Q121&gt;=4), "Champions", AND(O121&gt;=3, P121&gt;=4), "Loyal Customers", AND(O121&gt;=4, P121&lt;=2), "New / Promising", AND(O121&lt;=2, P121&gt;=4), "At Risk Loyalists", AND(Q121&gt;=4, P121&lt;=3), "Big Spenders", AND(O121&lt;=2, P121&lt;=2), "Lost / Dormant", TRUE, "Regular Customers")</f>
        <v>Champions</v>
      </c>
      <c r="T121" s="38"/>
    </row>
    <row r="122" spans="1:20" x14ac:dyDescent="0.2">
      <c r="A122" t="s">
        <v>161</v>
      </c>
      <c r="B122" t="s">
        <v>32</v>
      </c>
      <c r="C122" s="28">
        <v>42.38</v>
      </c>
      <c r="D122">
        <v>1</v>
      </c>
      <c r="E122" s="28">
        <v>45.49</v>
      </c>
      <c r="F122">
        <v>54</v>
      </c>
      <c r="G122">
        <v>18.899999999999999</v>
      </c>
      <c r="H122">
        <v>2</v>
      </c>
      <c r="I122" t="s">
        <v>24</v>
      </c>
      <c r="J122">
        <v>5</v>
      </c>
      <c r="K122">
        <v>22</v>
      </c>
      <c r="L122">
        <v>4.5</v>
      </c>
      <c r="M122" t="s">
        <v>55</v>
      </c>
      <c r="N122" t="s">
        <v>45</v>
      </c>
      <c r="O122">
        <f t="shared" si="4"/>
        <v>2</v>
      </c>
      <c r="P122">
        <f t="shared" si="5"/>
        <v>1</v>
      </c>
      <c r="Q122">
        <f t="shared" si="6"/>
        <v>1</v>
      </c>
      <c r="R122" s="25" t="str">
        <f t="shared" si="7"/>
        <v>211</v>
      </c>
      <c r="S122" t="str" cm="1">
        <f t="array" ref="S122">_xlfn.IFS(AND(O122&gt;=4, P122&gt;=4, Q122&gt;=4), "Champions", AND(O122&gt;=3, P122&gt;=4), "Loyal Customers", AND(O122&gt;=4, P122&lt;=2), "New / Promising", AND(O122&lt;=2, P122&gt;=4), "At Risk Loyalists", AND(Q122&gt;=4, P122&lt;=3), "Big Spenders", AND(O122&lt;=2, P122&lt;=2), "Lost / Dormant", TRUE, "Regular Customers")</f>
        <v>Lost / Dormant</v>
      </c>
      <c r="T122" s="38"/>
    </row>
    <row r="123" spans="1:20" x14ac:dyDescent="0.2">
      <c r="A123" t="s">
        <v>162</v>
      </c>
      <c r="B123" t="s">
        <v>32</v>
      </c>
      <c r="C123" s="28">
        <v>186.2</v>
      </c>
      <c r="D123">
        <v>6</v>
      </c>
      <c r="E123" s="28">
        <v>29.14</v>
      </c>
      <c r="F123">
        <v>24</v>
      </c>
      <c r="G123">
        <v>38.799999999999997</v>
      </c>
      <c r="H123">
        <v>2</v>
      </c>
      <c r="I123" t="s">
        <v>33</v>
      </c>
      <c r="J123">
        <v>0</v>
      </c>
      <c r="K123">
        <v>36.5</v>
      </c>
      <c r="L123">
        <v>12.8</v>
      </c>
      <c r="M123" t="s">
        <v>25</v>
      </c>
      <c r="N123" t="s">
        <v>45</v>
      </c>
      <c r="O123">
        <f t="shared" si="4"/>
        <v>4</v>
      </c>
      <c r="P123">
        <f t="shared" si="5"/>
        <v>4</v>
      </c>
      <c r="Q123">
        <f t="shared" si="6"/>
        <v>2</v>
      </c>
      <c r="R123" s="25" t="str">
        <f t="shared" si="7"/>
        <v>442</v>
      </c>
      <c r="S123" t="str" cm="1">
        <f t="array" ref="S123">_xlfn.IFS(AND(O123&gt;=4, P123&gt;=4, Q123&gt;=4), "Champions", AND(O123&gt;=3, P123&gt;=4), "Loyal Customers", AND(O123&gt;=4, P123&lt;=2), "New / Promising", AND(O123&lt;=2, P123&gt;=4), "At Risk Loyalists", AND(Q123&gt;=4, P123&lt;=3), "Big Spenders", AND(O123&lt;=2, P123&lt;=2), "Lost / Dormant", TRUE, "Regular Customers")</f>
        <v>Loyal Customers</v>
      </c>
      <c r="T123" s="38"/>
    </row>
    <row r="124" spans="1:20" x14ac:dyDescent="0.2">
      <c r="A124" t="s">
        <v>163</v>
      </c>
      <c r="B124" t="s">
        <v>23</v>
      </c>
      <c r="C124" s="28">
        <v>169.8</v>
      </c>
      <c r="D124">
        <v>4</v>
      </c>
      <c r="E124" s="28">
        <v>39.97</v>
      </c>
      <c r="F124">
        <v>12</v>
      </c>
      <c r="G124">
        <v>32.4</v>
      </c>
      <c r="H124">
        <v>5</v>
      </c>
      <c r="I124" t="s">
        <v>24</v>
      </c>
      <c r="J124">
        <v>8</v>
      </c>
      <c r="K124">
        <v>39.5</v>
      </c>
      <c r="L124">
        <v>14.7</v>
      </c>
      <c r="M124" t="s">
        <v>25</v>
      </c>
      <c r="N124" t="s">
        <v>26</v>
      </c>
      <c r="O124">
        <f t="shared" si="4"/>
        <v>5</v>
      </c>
      <c r="P124">
        <f t="shared" si="5"/>
        <v>3</v>
      </c>
      <c r="Q124">
        <f t="shared" si="6"/>
        <v>2</v>
      </c>
      <c r="R124" s="25" t="str">
        <f t="shared" si="7"/>
        <v>532</v>
      </c>
      <c r="S124" t="str" cm="1">
        <f t="array" ref="S124">_xlfn.IFS(AND(O124&gt;=4, P124&gt;=4, Q124&gt;=4), "Champions", AND(O124&gt;=3, P124&gt;=4), "Loyal Customers", AND(O124&gt;=4, P124&lt;=2), "New / Promising", AND(O124&lt;=2, P124&gt;=4), "At Risk Loyalists", AND(Q124&gt;=4, P124&lt;=3), "Big Spenders", AND(O124&lt;=2, P124&lt;=2), "Lost / Dormant", TRUE, "Regular Customers")</f>
        <v>Regular Customers</v>
      </c>
      <c r="T124" s="38"/>
    </row>
    <row r="125" spans="1:20" x14ac:dyDescent="0.2">
      <c r="A125" t="s">
        <v>164</v>
      </c>
      <c r="B125" t="s">
        <v>37</v>
      </c>
      <c r="C125" s="28">
        <v>125.11</v>
      </c>
      <c r="D125">
        <v>2</v>
      </c>
      <c r="E125" s="28">
        <v>59.65</v>
      </c>
      <c r="F125">
        <v>57</v>
      </c>
      <c r="G125">
        <v>44</v>
      </c>
      <c r="H125">
        <v>5</v>
      </c>
      <c r="I125" t="s">
        <v>24</v>
      </c>
      <c r="J125">
        <v>6</v>
      </c>
      <c r="K125">
        <v>56.4</v>
      </c>
      <c r="L125">
        <v>15.8</v>
      </c>
      <c r="M125" t="s">
        <v>47</v>
      </c>
      <c r="N125" t="s">
        <v>43</v>
      </c>
      <c r="O125">
        <f t="shared" si="4"/>
        <v>2</v>
      </c>
      <c r="P125">
        <f t="shared" si="5"/>
        <v>1</v>
      </c>
      <c r="Q125">
        <f t="shared" si="6"/>
        <v>1</v>
      </c>
      <c r="R125" s="25" t="str">
        <f t="shared" si="7"/>
        <v>211</v>
      </c>
      <c r="S125" t="str" cm="1">
        <f t="array" ref="S125">_xlfn.IFS(AND(O125&gt;=4, P125&gt;=4, Q125&gt;=4), "Champions", AND(O125&gt;=3, P125&gt;=4), "Loyal Customers", AND(O125&gt;=4, P125&lt;=2), "New / Promising", AND(O125&lt;=2, P125&gt;=4), "At Risk Loyalists", AND(Q125&gt;=4, P125&lt;=3), "Big Spenders", AND(O125&lt;=2, P125&lt;=2), "Lost / Dormant", TRUE, "Regular Customers")</f>
        <v>Lost / Dormant</v>
      </c>
      <c r="T125" s="38"/>
    </row>
    <row r="126" spans="1:20" x14ac:dyDescent="0.2">
      <c r="A126" t="s">
        <v>165</v>
      </c>
      <c r="B126" t="s">
        <v>37</v>
      </c>
      <c r="C126" s="28">
        <v>538.51</v>
      </c>
      <c r="D126">
        <v>7</v>
      </c>
      <c r="E126" s="28">
        <v>82.84</v>
      </c>
      <c r="F126">
        <v>25</v>
      </c>
      <c r="G126">
        <v>29.9</v>
      </c>
      <c r="H126">
        <v>4</v>
      </c>
      <c r="I126" t="s">
        <v>24</v>
      </c>
      <c r="J126">
        <v>2</v>
      </c>
      <c r="K126">
        <v>51.4</v>
      </c>
      <c r="L126">
        <v>8.3000000000000007</v>
      </c>
      <c r="M126" t="s">
        <v>39</v>
      </c>
      <c r="N126" t="s">
        <v>26</v>
      </c>
      <c r="O126">
        <f t="shared" si="4"/>
        <v>4</v>
      </c>
      <c r="P126">
        <f t="shared" si="5"/>
        <v>5</v>
      </c>
      <c r="Q126">
        <f t="shared" si="6"/>
        <v>5</v>
      </c>
      <c r="R126" s="25" t="str">
        <f t="shared" si="7"/>
        <v>455</v>
      </c>
      <c r="S126" t="str" cm="1">
        <f t="array" ref="S126">_xlfn.IFS(AND(O126&gt;=4, P126&gt;=4, Q126&gt;=4), "Champions", AND(O126&gt;=3, P126&gt;=4), "Loyal Customers", AND(O126&gt;=4, P126&lt;=2), "New / Promising", AND(O126&lt;=2, P126&gt;=4), "At Risk Loyalists", AND(Q126&gt;=4, P126&lt;=3), "Big Spenders", AND(O126&lt;=2, P126&lt;=2), "Lost / Dormant", TRUE, "Regular Customers")</f>
        <v>Champions</v>
      </c>
      <c r="T126" s="38"/>
    </row>
    <row r="127" spans="1:20" x14ac:dyDescent="0.2">
      <c r="A127" t="s">
        <v>166</v>
      </c>
      <c r="B127" t="s">
        <v>23</v>
      </c>
      <c r="C127" s="28">
        <v>190.89</v>
      </c>
      <c r="D127">
        <v>4</v>
      </c>
      <c r="E127" s="28">
        <v>50.97</v>
      </c>
      <c r="F127">
        <v>39</v>
      </c>
      <c r="G127">
        <v>48</v>
      </c>
      <c r="H127">
        <v>2</v>
      </c>
      <c r="I127" t="s">
        <v>33</v>
      </c>
      <c r="J127">
        <v>0</v>
      </c>
      <c r="K127">
        <v>39.6</v>
      </c>
      <c r="L127">
        <v>6.6</v>
      </c>
      <c r="M127" t="s">
        <v>53</v>
      </c>
      <c r="N127" t="s">
        <v>30</v>
      </c>
      <c r="O127">
        <f t="shared" si="4"/>
        <v>3</v>
      </c>
      <c r="P127">
        <f t="shared" si="5"/>
        <v>3</v>
      </c>
      <c r="Q127">
        <f t="shared" si="6"/>
        <v>2</v>
      </c>
      <c r="R127" s="25" t="str">
        <f t="shared" si="7"/>
        <v>332</v>
      </c>
      <c r="S127" t="str" cm="1">
        <f t="array" ref="S127">_xlfn.IFS(AND(O127&gt;=4, P127&gt;=4, Q127&gt;=4), "Champions", AND(O127&gt;=3, P127&gt;=4), "Loyal Customers", AND(O127&gt;=4, P127&lt;=2), "New / Promising", AND(O127&lt;=2, P127&gt;=4), "At Risk Loyalists", AND(Q127&gt;=4, P127&lt;=3), "Big Spenders", AND(O127&lt;=2, P127&lt;=2), "Lost / Dormant", TRUE, "Regular Customers")</f>
        <v>Regular Customers</v>
      </c>
      <c r="T127" s="38"/>
    </row>
    <row r="128" spans="1:20" x14ac:dyDescent="0.2">
      <c r="A128" t="s">
        <v>167</v>
      </c>
      <c r="B128" t="s">
        <v>32</v>
      </c>
      <c r="C128" s="28">
        <v>342.28</v>
      </c>
      <c r="D128">
        <v>7</v>
      </c>
      <c r="E128" s="28">
        <v>45.89</v>
      </c>
      <c r="F128">
        <v>26</v>
      </c>
      <c r="G128">
        <v>17.8</v>
      </c>
      <c r="H128">
        <v>5</v>
      </c>
      <c r="I128" t="s">
        <v>33</v>
      </c>
      <c r="J128">
        <v>0</v>
      </c>
      <c r="K128">
        <v>46.4</v>
      </c>
      <c r="L128">
        <v>17.7</v>
      </c>
      <c r="M128" t="s">
        <v>25</v>
      </c>
      <c r="N128" t="s">
        <v>43</v>
      </c>
      <c r="O128">
        <f t="shared" si="4"/>
        <v>4</v>
      </c>
      <c r="P128">
        <f t="shared" si="5"/>
        <v>5</v>
      </c>
      <c r="Q128">
        <f t="shared" si="6"/>
        <v>4</v>
      </c>
      <c r="R128" s="25" t="str">
        <f t="shared" si="7"/>
        <v>454</v>
      </c>
      <c r="S128" t="str" cm="1">
        <f t="array" ref="S128">_xlfn.IFS(AND(O128&gt;=4, P128&gt;=4, Q128&gt;=4), "Champions", AND(O128&gt;=3, P128&gt;=4), "Loyal Customers", AND(O128&gt;=4, P128&lt;=2), "New / Promising", AND(O128&lt;=2, P128&gt;=4), "At Risk Loyalists", AND(Q128&gt;=4, P128&lt;=3), "Big Spenders", AND(O128&lt;=2, P128&lt;=2), "Lost / Dormant", TRUE, "Regular Customers")</f>
        <v>Champions</v>
      </c>
      <c r="T128" s="38"/>
    </row>
    <row r="129" spans="1:20" x14ac:dyDescent="0.2">
      <c r="A129" t="s">
        <v>168</v>
      </c>
      <c r="B129" t="s">
        <v>32</v>
      </c>
      <c r="C129" s="28">
        <v>292.95</v>
      </c>
      <c r="D129">
        <v>5</v>
      </c>
      <c r="E129" s="28">
        <v>57.07</v>
      </c>
      <c r="F129">
        <v>24</v>
      </c>
      <c r="G129">
        <v>28.7</v>
      </c>
      <c r="H129">
        <v>2</v>
      </c>
      <c r="I129" t="s">
        <v>33</v>
      </c>
      <c r="J129">
        <v>0</v>
      </c>
      <c r="K129">
        <v>46.7</v>
      </c>
      <c r="L129">
        <v>15.6</v>
      </c>
      <c r="M129" t="s">
        <v>47</v>
      </c>
      <c r="N129" t="s">
        <v>45</v>
      </c>
      <c r="O129">
        <f t="shared" si="4"/>
        <v>4</v>
      </c>
      <c r="P129">
        <f t="shared" si="5"/>
        <v>3</v>
      </c>
      <c r="Q129">
        <f t="shared" si="6"/>
        <v>3</v>
      </c>
      <c r="R129" s="25" t="str">
        <f t="shared" si="7"/>
        <v>433</v>
      </c>
      <c r="S129" t="str" cm="1">
        <f t="array" ref="S129">_xlfn.IFS(AND(O129&gt;=4, P129&gt;=4, Q129&gt;=4), "Champions", AND(O129&gt;=3, P129&gt;=4), "Loyal Customers", AND(O129&gt;=4, P129&lt;=2), "New / Promising", AND(O129&lt;=2, P129&gt;=4), "At Risk Loyalists", AND(Q129&gt;=4, P129&lt;=3), "Big Spenders", AND(O129&lt;=2, P129&lt;=2), "Lost / Dormant", TRUE, "Regular Customers")</f>
        <v>Regular Customers</v>
      </c>
      <c r="T129" s="38"/>
    </row>
    <row r="130" spans="1:20" x14ac:dyDescent="0.2">
      <c r="A130" t="s">
        <v>169</v>
      </c>
      <c r="B130" t="s">
        <v>37</v>
      </c>
      <c r="C130" s="28">
        <v>167.01</v>
      </c>
      <c r="D130">
        <v>4</v>
      </c>
      <c r="E130" s="28">
        <v>42.71</v>
      </c>
      <c r="F130">
        <v>27</v>
      </c>
      <c r="G130">
        <v>50.4</v>
      </c>
      <c r="H130">
        <v>2</v>
      </c>
      <c r="I130" t="s">
        <v>33</v>
      </c>
      <c r="J130">
        <v>0</v>
      </c>
      <c r="K130">
        <v>33.6</v>
      </c>
      <c r="L130">
        <v>10.6</v>
      </c>
      <c r="M130" t="s">
        <v>25</v>
      </c>
      <c r="N130" t="s">
        <v>43</v>
      </c>
      <c r="O130">
        <f t="shared" si="4"/>
        <v>4</v>
      </c>
      <c r="P130">
        <f t="shared" si="5"/>
        <v>3</v>
      </c>
      <c r="Q130">
        <f t="shared" si="6"/>
        <v>2</v>
      </c>
      <c r="R130" s="25" t="str">
        <f t="shared" si="7"/>
        <v>432</v>
      </c>
      <c r="S130" t="str" cm="1">
        <f t="array" ref="S130">_xlfn.IFS(AND(O130&gt;=4, P130&gt;=4, Q130&gt;=4), "Champions", AND(O130&gt;=3, P130&gt;=4), "Loyal Customers", AND(O130&gt;=4, P130&lt;=2), "New / Promising", AND(O130&lt;=2, P130&gt;=4), "At Risk Loyalists", AND(Q130&gt;=4, P130&lt;=3), "Big Spenders", AND(O130&lt;=2, P130&lt;=2), "Lost / Dormant", TRUE, "Regular Customers")</f>
        <v>Regular Customers</v>
      </c>
      <c r="T130" s="38"/>
    </row>
    <row r="131" spans="1:20" x14ac:dyDescent="0.2">
      <c r="A131" t="s">
        <v>170</v>
      </c>
      <c r="B131" t="s">
        <v>58</v>
      </c>
      <c r="C131" s="28">
        <v>334.83</v>
      </c>
      <c r="D131">
        <v>5</v>
      </c>
      <c r="E131" s="28">
        <v>63.41</v>
      </c>
      <c r="F131">
        <v>2</v>
      </c>
      <c r="G131">
        <v>11.6</v>
      </c>
      <c r="H131">
        <v>4</v>
      </c>
      <c r="I131" t="s">
        <v>24</v>
      </c>
      <c r="J131">
        <v>4</v>
      </c>
      <c r="K131">
        <v>60.4</v>
      </c>
      <c r="L131">
        <v>11.4</v>
      </c>
      <c r="M131" t="s">
        <v>25</v>
      </c>
      <c r="N131" t="s">
        <v>26</v>
      </c>
      <c r="O131">
        <f t="shared" ref="O131:O194" si="8">IF(F131&lt;=_xlfn.PERCENTILE.INC($F$2:$F$301,0.2), 5,
 IF(F131&lt;=_xlfn.PERCENTILE.INC($F$2:$F$301,0.4), 4,
 IF(F131&lt;=_xlfn.PERCENTILE.INC($F$2:$F$301,0.6), 3,
 IF(F131&lt;=_xlfn.PERCENTILE.INC($F$2:$F$301,0.8), 2, 1))))</f>
        <v>5</v>
      </c>
      <c r="P131">
        <f t="shared" ref="P131:P194" si="9">IF(D131&gt;=_xlfn.PERCENTILE.INC($D$2:$D$301,0.8), 5,
 IF(D131&gt;=_xlfn.PERCENTILE.INC($D$2:$D$301,0.6), 4,
 IF(D131&gt;=_xlfn.PERCENTILE.INC($D$2:$D$301,0.4), 3,
 IF(D131&gt;=_xlfn.PERCENTILE.INC($D$2:$D$301,0.2), 2, 1))))</f>
        <v>3</v>
      </c>
      <c r="Q131">
        <f t="shared" ref="Q131:Q194" si="10">IF(C131&gt;=_xlfn.PERCENTILE.INC($C$2:$C$301,0.8), 5,
 IF(C131&gt;=_xlfn.PERCENTILE.INC($C$2:$C$301,0.6), 4,
 IF(C131&gt;=_xlfn.PERCENTILE.INC($C$2:$C$301,0.4), 3,
 IF(C131&gt;=_xlfn.PERCENTILE.INC($C$2:$C$301,0.2), 2, 1))))</f>
        <v>4</v>
      </c>
      <c r="R131" s="25" t="str">
        <f t="shared" ref="R131:R194" si="11">O131&amp;P131&amp;Q131</f>
        <v>534</v>
      </c>
      <c r="S131" t="str" cm="1">
        <f t="array" ref="S131">_xlfn.IFS(AND(O131&gt;=4, P131&gt;=4, Q131&gt;=4), "Champions", AND(O131&gt;=3, P131&gt;=4), "Loyal Customers", AND(O131&gt;=4, P131&lt;=2), "New / Promising", AND(O131&lt;=2, P131&gt;=4), "At Risk Loyalists", AND(Q131&gt;=4, P131&lt;=3), "Big Spenders", AND(O131&lt;=2, P131&lt;=2), "Lost / Dormant", TRUE, "Regular Customers")</f>
        <v>Big Spenders</v>
      </c>
      <c r="T131" s="38"/>
    </row>
    <row r="132" spans="1:20" x14ac:dyDescent="0.2">
      <c r="A132" t="s">
        <v>171</v>
      </c>
      <c r="B132" t="s">
        <v>23</v>
      </c>
      <c r="C132" s="28">
        <v>558.74</v>
      </c>
      <c r="D132">
        <v>9</v>
      </c>
      <c r="E132" s="28">
        <v>60.61</v>
      </c>
      <c r="F132">
        <v>23</v>
      </c>
      <c r="G132">
        <v>18.2</v>
      </c>
      <c r="H132">
        <v>4</v>
      </c>
      <c r="I132" t="s">
        <v>24</v>
      </c>
      <c r="J132">
        <v>7</v>
      </c>
      <c r="K132">
        <v>47.1</v>
      </c>
      <c r="L132">
        <v>13.9</v>
      </c>
      <c r="M132" t="s">
        <v>25</v>
      </c>
      <c r="N132" t="s">
        <v>26</v>
      </c>
      <c r="O132">
        <f t="shared" si="8"/>
        <v>4</v>
      </c>
      <c r="P132">
        <f t="shared" si="9"/>
        <v>5</v>
      </c>
      <c r="Q132">
        <f t="shared" si="10"/>
        <v>5</v>
      </c>
      <c r="R132" s="25" t="str">
        <f t="shared" si="11"/>
        <v>455</v>
      </c>
      <c r="S132" t="str" cm="1">
        <f t="array" ref="S132">_xlfn.IFS(AND(O132&gt;=4, P132&gt;=4, Q132&gt;=4), "Champions", AND(O132&gt;=3, P132&gt;=4), "Loyal Customers", AND(O132&gt;=4, P132&lt;=2), "New / Promising", AND(O132&lt;=2, P132&gt;=4), "At Risk Loyalists", AND(Q132&gt;=4, P132&lt;=3), "Big Spenders", AND(O132&lt;=2, P132&lt;=2), "Lost / Dormant", TRUE, "Regular Customers")</f>
        <v>Champions</v>
      </c>
      <c r="T132" s="38"/>
    </row>
    <row r="133" spans="1:20" x14ac:dyDescent="0.2">
      <c r="A133" t="s">
        <v>172</v>
      </c>
      <c r="B133" t="s">
        <v>37</v>
      </c>
      <c r="C133" s="28">
        <v>127.32</v>
      </c>
      <c r="D133">
        <v>2</v>
      </c>
      <c r="E133" s="28">
        <v>68.510000000000005</v>
      </c>
      <c r="F133">
        <v>213</v>
      </c>
      <c r="G133">
        <v>10.1</v>
      </c>
      <c r="H133">
        <v>1</v>
      </c>
      <c r="I133" t="s">
        <v>33</v>
      </c>
      <c r="J133">
        <v>0</v>
      </c>
      <c r="K133">
        <v>27.1</v>
      </c>
      <c r="L133">
        <v>2.4</v>
      </c>
      <c r="M133" t="s">
        <v>47</v>
      </c>
      <c r="N133" t="s">
        <v>45</v>
      </c>
      <c r="O133">
        <f t="shared" si="8"/>
        <v>1</v>
      </c>
      <c r="P133">
        <f t="shared" si="9"/>
        <v>1</v>
      </c>
      <c r="Q133">
        <f t="shared" si="10"/>
        <v>1</v>
      </c>
      <c r="R133" s="25" t="str">
        <f t="shared" si="11"/>
        <v>111</v>
      </c>
      <c r="S133" t="str" cm="1">
        <f t="array" ref="S133">_xlfn.IFS(AND(O133&gt;=4, P133&gt;=4, Q133&gt;=4), "Champions", AND(O133&gt;=3, P133&gt;=4), "Loyal Customers", AND(O133&gt;=4, P133&lt;=2), "New / Promising", AND(O133&lt;=2, P133&gt;=4), "At Risk Loyalists", AND(Q133&gt;=4, P133&lt;=3), "Big Spenders", AND(O133&lt;=2, P133&lt;=2), "Lost / Dormant", TRUE, "Regular Customers")</f>
        <v>Lost / Dormant</v>
      </c>
      <c r="T133" s="38"/>
    </row>
    <row r="134" spans="1:20" x14ac:dyDescent="0.2">
      <c r="A134" t="s">
        <v>173</v>
      </c>
      <c r="B134" t="s">
        <v>37</v>
      </c>
      <c r="C134" s="28">
        <v>356.5</v>
      </c>
      <c r="D134">
        <v>5</v>
      </c>
      <c r="E134" s="28">
        <v>72.41</v>
      </c>
      <c r="F134">
        <v>32</v>
      </c>
      <c r="G134">
        <v>6</v>
      </c>
      <c r="H134">
        <v>3</v>
      </c>
      <c r="I134" t="s">
        <v>24</v>
      </c>
      <c r="J134">
        <v>5</v>
      </c>
      <c r="K134">
        <v>42.4</v>
      </c>
      <c r="L134">
        <v>14.9</v>
      </c>
      <c r="M134" t="s">
        <v>47</v>
      </c>
      <c r="N134" t="s">
        <v>30</v>
      </c>
      <c r="O134">
        <f t="shared" si="8"/>
        <v>4</v>
      </c>
      <c r="P134">
        <f t="shared" si="9"/>
        <v>3</v>
      </c>
      <c r="Q134">
        <f t="shared" si="10"/>
        <v>4</v>
      </c>
      <c r="R134" s="25" t="str">
        <f t="shared" si="11"/>
        <v>434</v>
      </c>
      <c r="S134" t="str" cm="1">
        <f t="array" ref="S134">_xlfn.IFS(AND(O134&gt;=4, P134&gt;=4, Q134&gt;=4), "Champions", AND(O134&gt;=3, P134&gt;=4), "Loyal Customers", AND(O134&gt;=4, P134&lt;=2), "New / Promising", AND(O134&lt;=2, P134&gt;=4), "At Risk Loyalists", AND(Q134&gt;=4, P134&lt;=3), "Big Spenders", AND(O134&lt;=2, P134&lt;=2), "Lost / Dormant", TRUE, "Regular Customers")</f>
        <v>Big Spenders</v>
      </c>
      <c r="T134" s="38"/>
    </row>
    <row r="135" spans="1:20" x14ac:dyDescent="0.2">
      <c r="A135" t="s">
        <v>174</v>
      </c>
      <c r="B135" t="s">
        <v>23</v>
      </c>
      <c r="C135" s="28">
        <v>186.47</v>
      </c>
      <c r="D135">
        <v>2</v>
      </c>
      <c r="E135" s="28">
        <v>96.13</v>
      </c>
      <c r="F135">
        <v>23</v>
      </c>
      <c r="G135">
        <v>16.7</v>
      </c>
      <c r="H135">
        <v>3</v>
      </c>
      <c r="I135" t="s">
        <v>33</v>
      </c>
      <c r="J135">
        <v>0</v>
      </c>
      <c r="K135">
        <v>80.2</v>
      </c>
      <c r="L135">
        <v>17.100000000000001</v>
      </c>
      <c r="M135" t="s">
        <v>39</v>
      </c>
      <c r="N135" t="s">
        <v>26</v>
      </c>
      <c r="O135">
        <f t="shared" si="8"/>
        <v>4</v>
      </c>
      <c r="P135">
        <f t="shared" si="9"/>
        <v>1</v>
      </c>
      <c r="Q135">
        <f t="shared" si="10"/>
        <v>2</v>
      </c>
      <c r="R135" s="25" t="str">
        <f t="shared" si="11"/>
        <v>412</v>
      </c>
      <c r="S135" t="str" cm="1">
        <f t="array" ref="S135">_xlfn.IFS(AND(O135&gt;=4, P135&gt;=4, Q135&gt;=4), "Champions", AND(O135&gt;=3, P135&gt;=4), "Loyal Customers", AND(O135&gt;=4, P135&lt;=2), "New / Promising", AND(O135&lt;=2, P135&gt;=4), "At Risk Loyalists", AND(Q135&gt;=4, P135&lt;=3), "Big Spenders", AND(O135&lt;=2, P135&lt;=2), "Lost / Dormant", TRUE, "Regular Customers")</f>
        <v>New / Promising</v>
      </c>
      <c r="T135" s="38"/>
    </row>
    <row r="136" spans="1:20" x14ac:dyDescent="0.2">
      <c r="A136" t="s">
        <v>175</v>
      </c>
      <c r="B136" t="s">
        <v>28</v>
      </c>
      <c r="C136" s="28">
        <v>714.68</v>
      </c>
      <c r="D136">
        <v>9</v>
      </c>
      <c r="E136" s="28">
        <v>79.180000000000007</v>
      </c>
      <c r="F136">
        <v>24</v>
      </c>
      <c r="G136">
        <v>14.6</v>
      </c>
      <c r="H136">
        <v>4</v>
      </c>
      <c r="I136" t="s">
        <v>24</v>
      </c>
      <c r="J136">
        <v>14</v>
      </c>
      <c r="K136">
        <v>67.8</v>
      </c>
      <c r="L136">
        <v>12.3</v>
      </c>
      <c r="M136" t="s">
        <v>29</v>
      </c>
      <c r="N136" t="s">
        <v>26</v>
      </c>
      <c r="O136">
        <f t="shared" si="8"/>
        <v>4</v>
      </c>
      <c r="P136">
        <f t="shared" si="9"/>
        <v>5</v>
      </c>
      <c r="Q136">
        <f t="shared" si="10"/>
        <v>5</v>
      </c>
      <c r="R136" s="25" t="str">
        <f t="shared" si="11"/>
        <v>455</v>
      </c>
      <c r="S136" t="str" cm="1">
        <f t="array" ref="S136">_xlfn.IFS(AND(O136&gt;=4, P136&gt;=4, Q136&gt;=4), "Champions", AND(O136&gt;=3, P136&gt;=4), "Loyal Customers", AND(O136&gt;=4, P136&lt;=2), "New / Promising", AND(O136&lt;=2, P136&gt;=4), "At Risk Loyalists", AND(Q136&gt;=4, P136&lt;=3), "Big Spenders", AND(O136&lt;=2, P136&lt;=2), "Lost / Dormant", TRUE, "Regular Customers")</f>
        <v>Champions</v>
      </c>
      <c r="T136" s="38"/>
    </row>
    <row r="137" spans="1:20" x14ac:dyDescent="0.2">
      <c r="A137" t="s">
        <v>176</v>
      </c>
      <c r="B137" t="s">
        <v>23</v>
      </c>
      <c r="C137" s="28">
        <v>36.21</v>
      </c>
      <c r="D137">
        <v>1</v>
      </c>
      <c r="E137" s="28">
        <v>37.39</v>
      </c>
      <c r="F137">
        <v>142</v>
      </c>
      <c r="G137">
        <v>23.6</v>
      </c>
      <c r="H137">
        <v>2</v>
      </c>
      <c r="I137" t="s">
        <v>33</v>
      </c>
      <c r="J137">
        <v>0</v>
      </c>
      <c r="K137">
        <v>24</v>
      </c>
      <c r="L137">
        <v>0</v>
      </c>
      <c r="M137" t="s">
        <v>53</v>
      </c>
      <c r="N137" t="s">
        <v>30</v>
      </c>
      <c r="O137">
        <f t="shared" si="8"/>
        <v>1</v>
      </c>
      <c r="P137">
        <f t="shared" si="9"/>
        <v>1</v>
      </c>
      <c r="Q137">
        <f t="shared" si="10"/>
        <v>1</v>
      </c>
      <c r="R137" s="25" t="str">
        <f t="shared" si="11"/>
        <v>111</v>
      </c>
      <c r="S137" t="str" cm="1">
        <f t="array" ref="S137">_xlfn.IFS(AND(O137&gt;=4, P137&gt;=4, Q137&gt;=4), "Champions", AND(O137&gt;=3, P137&gt;=4), "Loyal Customers", AND(O137&gt;=4, P137&lt;=2), "New / Promising", AND(O137&lt;=2, P137&gt;=4), "At Risk Loyalists", AND(Q137&gt;=4, P137&lt;=3), "Big Spenders", AND(O137&lt;=2, P137&lt;=2), "Lost / Dormant", TRUE, "Regular Customers")</f>
        <v>Lost / Dormant</v>
      </c>
      <c r="T137" s="38"/>
    </row>
    <row r="138" spans="1:20" x14ac:dyDescent="0.2">
      <c r="A138" t="s">
        <v>177</v>
      </c>
      <c r="B138" t="s">
        <v>58</v>
      </c>
      <c r="C138" s="28">
        <v>157.46</v>
      </c>
      <c r="D138">
        <v>4</v>
      </c>
      <c r="E138" s="28">
        <v>41.17</v>
      </c>
      <c r="F138">
        <v>36</v>
      </c>
      <c r="G138">
        <v>28.3</v>
      </c>
      <c r="H138">
        <v>4</v>
      </c>
      <c r="I138" t="s">
        <v>24</v>
      </c>
      <c r="J138">
        <v>7</v>
      </c>
      <c r="K138">
        <v>38.5</v>
      </c>
      <c r="L138">
        <v>9.1999999999999993</v>
      </c>
      <c r="M138" t="s">
        <v>29</v>
      </c>
      <c r="N138" t="s">
        <v>26</v>
      </c>
      <c r="O138">
        <f t="shared" si="8"/>
        <v>3</v>
      </c>
      <c r="P138">
        <f t="shared" si="9"/>
        <v>3</v>
      </c>
      <c r="Q138">
        <f t="shared" si="10"/>
        <v>2</v>
      </c>
      <c r="R138" s="25" t="str">
        <f t="shared" si="11"/>
        <v>332</v>
      </c>
      <c r="S138" t="str" cm="1">
        <f t="array" ref="S138">_xlfn.IFS(AND(O138&gt;=4, P138&gt;=4, Q138&gt;=4), "Champions", AND(O138&gt;=3, P138&gt;=4), "Loyal Customers", AND(O138&gt;=4, P138&lt;=2), "New / Promising", AND(O138&lt;=2, P138&gt;=4), "At Risk Loyalists", AND(Q138&gt;=4, P138&lt;=3), "Big Spenders", AND(O138&lt;=2, P138&lt;=2), "Lost / Dormant", TRUE, "Regular Customers")</f>
        <v>Regular Customers</v>
      </c>
      <c r="T138" s="38"/>
    </row>
    <row r="139" spans="1:20" x14ac:dyDescent="0.2">
      <c r="A139" t="s">
        <v>178</v>
      </c>
      <c r="B139" t="s">
        <v>35</v>
      </c>
      <c r="C139" s="28">
        <v>103.19</v>
      </c>
      <c r="D139">
        <v>2</v>
      </c>
      <c r="E139" s="28">
        <v>50.5</v>
      </c>
      <c r="F139">
        <v>197</v>
      </c>
      <c r="G139">
        <v>18.8</v>
      </c>
      <c r="H139">
        <v>2</v>
      </c>
      <c r="I139" t="s">
        <v>33</v>
      </c>
      <c r="J139">
        <v>0</v>
      </c>
      <c r="K139">
        <v>24.6</v>
      </c>
      <c r="L139">
        <v>3.9</v>
      </c>
      <c r="M139" t="s">
        <v>47</v>
      </c>
      <c r="N139" t="s">
        <v>45</v>
      </c>
      <c r="O139">
        <f t="shared" si="8"/>
        <v>1</v>
      </c>
      <c r="P139">
        <f t="shared" si="9"/>
        <v>1</v>
      </c>
      <c r="Q139">
        <f t="shared" si="10"/>
        <v>1</v>
      </c>
      <c r="R139" s="25" t="str">
        <f t="shared" si="11"/>
        <v>111</v>
      </c>
      <c r="S139" t="str" cm="1">
        <f t="array" ref="S139">_xlfn.IFS(AND(O139&gt;=4, P139&gt;=4, Q139&gt;=4), "Champions", AND(O139&gt;=3, P139&gt;=4), "Loyal Customers", AND(O139&gt;=4, P139&lt;=2), "New / Promising", AND(O139&lt;=2, P139&gt;=4), "At Risk Loyalists", AND(Q139&gt;=4, P139&lt;=3), "Big Spenders", AND(O139&lt;=2, P139&lt;=2), "Lost / Dormant", TRUE, "Regular Customers")</f>
        <v>Lost / Dormant</v>
      </c>
      <c r="T139" s="38"/>
    </row>
    <row r="140" spans="1:20" x14ac:dyDescent="0.2">
      <c r="A140" t="s">
        <v>179</v>
      </c>
      <c r="B140" t="s">
        <v>23</v>
      </c>
      <c r="C140" s="28">
        <v>632.67999999999995</v>
      </c>
      <c r="D140">
        <v>11</v>
      </c>
      <c r="E140" s="28">
        <v>61.85</v>
      </c>
      <c r="F140">
        <v>8</v>
      </c>
      <c r="G140">
        <v>7.1</v>
      </c>
      <c r="H140">
        <v>3</v>
      </c>
      <c r="I140" t="s">
        <v>24</v>
      </c>
      <c r="J140">
        <v>13</v>
      </c>
      <c r="K140">
        <v>60</v>
      </c>
      <c r="L140">
        <v>19.100000000000001</v>
      </c>
      <c r="M140" t="s">
        <v>39</v>
      </c>
      <c r="N140" t="s">
        <v>30</v>
      </c>
      <c r="O140">
        <f t="shared" si="8"/>
        <v>5</v>
      </c>
      <c r="P140">
        <f t="shared" si="9"/>
        <v>5</v>
      </c>
      <c r="Q140">
        <f t="shared" si="10"/>
        <v>5</v>
      </c>
      <c r="R140" s="25" t="str">
        <f t="shared" si="11"/>
        <v>555</v>
      </c>
      <c r="S140" t="str" cm="1">
        <f t="array" ref="S140">_xlfn.IFS(AND(O140&gt;=4, P140&gt;=4, Q140&gt;=4), "Champions", AND(O140&gt;=3, P140&gt;=4), "Loyal Customers", AND(O140&gt;=4, P140&lt;=2), "New / Promising", AND(O140&lt;=2, P140&gt;=4), "At Risk Loyalists", AND(Q140&gt;=4, P140&lt;=3), "Big Spenders", AND(O140&lt;=2, P140&lt;=2), "Lost / Dormant", TRUE, "Regular Customers")</f>
        <v>Champions</v>
      </c>
      <c r="T140" s="38"/>
    </row>
    <row r="141" spans="1:20" x14ac:dyDescent="0.2">
      <c r="A141" t="s">
        <v>180</v>
      </c>
      <c r="B141" t="s">
        <v>28</v>
      </c>
      <c r="C141" s="28">
        <v>233.35</v>
      </c>
      <c r="D141">
        <v>4</v>
      </c>
      <c r="E141" s="28">
        <v>58.72</v>
      </c>
      <c r="F141">
        <v>43</v>
      </c>
      <c r="G141">
        <v>28.7</v>
      </c>
      <c r="H141">
        <v>5</v>
      </c>
      <c r="I141" t="s">
        <v>24</v>
      </c>
      <c r="J141">
        <v>6</v>
      </c>
      <c r="K141">
        <v>46.4</v>
      </c>
      <c r="L141">
        <v>7.5</v>
      </c>
      <c r="M141" t="s">
        <v>29</v>
      </c>
      <c r="N141" t="s">
        <v>26</v>
      </c>
      <c r="O141">
        <f t="shared" si="8"/>
        <v>3</v>
      </c>
      <c r="P141">
        <f t="shared" si="9"/>
        <v>3</v>
      </c>
      <c r="Q141">
        <f t="shared" si="10"/>
        <v>3</v>
      </c>
      <c r="R141" s="25" t="str">
        <f t="shared" si="11"/>
        <v>333</v>
      </c>
      <c r="S141" t="str" cm="1">
        <f t="array" ref="S141">_xlfn.IFS(AND(O141&gt;=4, P141&gt;=4, Q141&gt;=4), "Champions", AND(O141&gt;=3, P141&gt;=4), "Loyal Customers", AND(O141&gt;=4, P141&lt;=2), "New / Promising", AND(O141&lt;=2, P141&gt;=4), "At Risk Loyalists", AND(Q141&gt;=4, P141&lt;=3), "Big Spenders", AND(O141&lt;=2, P141&lt;=2), "Lost / Dormant", TRUE, "Regular Customers")</f>
        <v>Regular Customers</v>
      </c>
      <c r="T141" s="38"/>
    </row>
    <row r="142" spans="1:20" x14ac:dyDescent="0.2">
      <c r="A142" t="s">
        <v>181</v>
      </c>
      <c r="B142" t="s">
        <v>28</v>
      </c>
      <c r="C142" s="28">
        <v>52.18</v>
      </c>
      <c r="D142">
        <v>1</v>
      </c>
      <c r="E142" s="28">
        <v>54.27</v>
      </c>
      <c r="F142">
        <v>34</v>
      </c>
      <c r="G142">
        <v>30.9</v>
      </c>
      <c r="H142">
        <v>2</v>
      </c>
      <c r="I142" t="s">
        <v>33</v>
      </c>
      <c r="J142">
        <v>0</v>
      </c>
      <c r="K142">
        <v>43.9</v>
      </c>
      <c r="L142">
        <v>10.199999999999999</v>
      </c>
      <c r="M142" t="s">
        <v>39</v>
      </c>
      <c r="N142" t="s">
        <v>26</v>
      </c>
      <c r="O142">
        <f t="shared" si="8"/>
        <v>3</v>
      </c>
      <c r="P142">
        <f t="shared" si="9"/>
        <v>1</v>
      </c>
      <c r="Q142">
        <f t="shared" si="10"/>
        <v>1</v>
      </c>
      <c r="R142" s="25" t="str">
        <f t="shared" si="11"/>
        <v>311</v>
      </c>
      <c r="S142" t="str" cm="1">
        <f t="array" ref="S142">_xlfn.IFS(AND(O142&gt;=4, P142&gt;=4, Q142&gt;=4), "Champions", AND(O142&gt;=3, P142&gt;=4), "Loyal Customers", AND(O142&gt;=4, P142&lt;=2), "New / Promising", AND(O142&lt;=2, P142&gt;=4), "At Risk Loyalists", AND(Q142&gt;=4, P142&lt;=3), "Big Spenders", AND(O142&lt;=2, P142&lt;=2), "Lost / Dormant", TRUE, "Regular Customers")</f>
        <v>Regular Customers</v>
      </c>
      <c r="T142" s="38"/>
    </row>
    <row r="143" spans="1:20" x14ac:dyDescent="0.2">
      <c r="A143" t="s">
        <v>182</v>
      </c>
      <c r="B143" t="s">
        <v>23</v>
      </c>
      <c r="C143" s="28">
        <v>405.97</v>
      </c>
      <c r="D143">
        <v>5</v>
      </c>
      <c r="E143" s="28">
        <v>76.22</v>
      </c>
      <c r="F143">
        <v>38</v>
      </c>
      <c r="G143">
        <v>12.4</v>
      </c>
      <c r="H143">
        <v>4</v>
      </c>
      <c r="I143" t="s">
        <v>33</v>
      </c>
      <c r="J143">
        <v>0</v>
      </c>
      <c r="K143">
        <v>53.5</v>
      </c>
      <c r="L143">
        <v>10.1</v>
      </c>
      <c r="M143" t="s">
        <v>29</v>
      </c>
      <c r="N143" t="s">
        <v>40</v>
      </c>
      <c r="O143">
        <f t="shared" si="8"/>
        <v>3</v>
      </c>
      <c r="P143">
        <f t="shared" si="9"/>
        <v>3</v>
      </c>
      <c r="Q143">
        <f t="shared" si="10"/>
        <v>4</v>
      </c>
      <c r="R143" s="25" t="str">
        <f t="shared" si="11"/>
        <v>334</v>
      </c>
      <c r="S143" t="str" cm="1">
        <f t="array" ref="S143">_xlfn.IFS(AND(O143&gt;=4, P143&gt;=4, Q143&gt;=4), "Champions", AND(O143&gt;=3, P143&gt;=4), "Loyal Customers", AND(O143&gt;=4, P143&lt;=2), "New / Promising", AND(O143&lt;=2, P143&gt;=4), "At Risk Loyalists", AND(Q143&gt;=4, P143&lt;=3), "Big Spenders", AND(O143&lt;=2, P143&lt;=2), "Lost / Dormant", TRUE, "Regular Customers")</f>
        <v>Big Spenders</v>
      </c>
      <c r="T143" s="38"/>
    </row>
    <row r="144" spans="1:20" x14ac:dyDescent="0.2">
      <c r="A144" t="s">
        <v>183</v>
      </c>
      <c r="B144" t="s">
        <v>58</v>
      </c>
      <c r="C144" s="28">
        <v>239.27</v>
      </c>
      <c r="D144">
        <v>6</v>
      </c>
      <c r="E144" s="28">
        <v>42.15</v>
      </c>
      <c r="F144">
        <v>49</v>
      </c>
      <c r="G144">
        <v>40.299999999999997</v>
      </c>
      <c r="H144">
        <v>4</v>
      </c>
      <c r="I144" t="s">
        <v>24</v>
      </c>
      <c r="J144">
        <v>5</v>
      </c>
      <c r="K144">
        <v>51.9</v>
      </c>
      <c r="L144">
        <v>14.7</v>
      </c>
      <c r="M144" t="s">
        <v>47</v>
      </c>
      <c r="N144" t="s">
        <v>43</v>
      </c>
      <c r="O144">
        <f t="shared" si="8"/>
        <v>3</v>
      </c>
      <c r="P144">
        <f t="shared" si="9"/>
        <v>4</v>
      </c>
      <c r="Q144">
        <f t="shared" si="10"/>
        <v>3</v>
      </c>
      <c r="R144" s="25" t="str">
        <f t="shared" si="11"/>
        <v>343</v>
      </c>
      <c r="S144" t="str" cm="1">
        <f t="array" ref="S144">_xlfn.IFS(AND(O144&gt;=4, P144&gt;=4, Q144&gt;=4), "Champions", AND(O144&gt;=3, P144&gt;=4), "Loyal Customers", AND(O144&gt;=4, P144&lt;=2), "New / Promising", AND(O144&lt;=2, P144&gt;=4), "At Risk Loyalists", AND(Q144&gt;=4, P144&lt;=3), "Big Spenders", AND(O144&lt;=2, P144&lt;=2), "Lost / Dormant", TRUE, "Regular Customers")</f>
        <v>Loyal Customers</v>
      </c>
      <c r="T144" s="38"/>
    </row>
    <row r="145" spans="1:20" x14ac:dyDescent="0.2">
      <c r="A145" t="s">
        <v>184</v>
      </c>
      <c r="B145" t="s">
        <v>23</v>
      </c>
      <c r="C145" s="28">
        <v>221.72</v>
      </c>
      <c r="D145">
        <v>4</v>
      </c>
      <c r="E145" s="28">
        <v>59.27</v>
      </c>
      <c r="F145">
        <v>139</v>
      </c>
      <c r="G145">
        <v>18.899999999999999</v>
      </c>
      <c r="H145">
        <v>1</v>
      </c>
      <c r="I145" t="s">
        <v>33</v>
      </c>
      <c r="J145">
        <v>0</v>
      </c>
      <c r="K145">
        <v>26.8</v>
      </c>
      <c r="L145">
        <v>6.4</v>
      </c>
      <c r="M145" t="s">
        <v>39</v>
      </c>
      <c r="N145" t="s">
        <v>43</v>
      </c>
      <c r="O145">
        <f t="shared" si="8"/>
        <v>1</v>
      </c>
      <c r="P145">
        <f t="shared" si="9"/>
        <v>3</v>
      </c>
      <c r="Q145">
        <f t="shared" si="10"/>
        <v>3</v>
      </c>
      <c r="R145" s="25" t="str">
        <f t="shared" si="11"/>
        <v>133</v>
      </c>
      <c r="S145" t="str" cm="1">
        <f t="array" ref="S145">_xlfn.IFS(AND(O145&gt;=4, P145&gt;=4, Q145&gt;=4), "Champions", AND(O145&gt;=3, P145&gt;=4), "Loyal Customers", AND(O145&gt;=4, P145&lt;=2), "New / Promising", AND(O145&lt;=2, P145&gt;=4), "At Risk Loyalists", AND(Q145&gt;=4, P145&lt;=3), "Big Spenders", AND(O145&lt;=2, P145&lt;=2), "Lost / Dormant", TRUE, "Regular Customers")</f>
        <v>Regular Customers</v>
      </c>
      <c r="T145" s="38"/>
    </row>
    <row r="146" spans="1:20" x14ac:dyDescent="0.2">
      <c r="A146" t="s">
        <v>185</v>
      </c>
      <c r="B146" t="s">
        <v>23</v>
      </c>
      <c r="C146" s="28">
        <v>337.62</v>
      </c>
      <c r="D146">
        <v>6</v>
      </c>
      <c r="E146" s="28">
        <v>54.07</v>
      </c>
      <c r="F146">
        <v>72</v>
      </c>
      <c r="G146">
        <v>25.3</v>
      </c>
      <c r="H146">
        <v>4</v>
      </c>
      <c r="I146" t="s">
        <v>24</v>
      </c>
      <c r="J146">
        <v>5</v>
      </c>
      <c r="K146">
        <v>32.299999999999997</v>
      </c>
      <c r="L146">
        <v>6.3</v>
      </c>
      <c r="M146" t="s">
        <v>29</v>
      </c>
      <c r="N146" t="s">
        <v>45</v>
      </c>
      <c r="O146">
        <f t="shared" si="8"/>
        <v>2</v>
      </c>
      <c r="P146">
        <f t="shared" si="9"/>
        <v>4</v>
      </c>
      <c r="Q146">
        <f t="shared" si="10"/>
        <v>4</v>
      </c>
      <c r="R146" s="25" t="str">
        <f t="shared" si="11"/>
        <v>244</v>
      </c>
      <c r="S146" t="str" cm="1">
        <f t="array" ref="S146">_xlfn.IFS(AND(O146&gt;=4, P146&gt;=4, Q146&gt;=4), "Champions", AND(O146&gt;=3, P146&gt;=4), "Loyal Customers", AND(O146&gt;=4, P146&lt;=2), "New / Promising", AND(O146&lt;=2, P146&gt;=4), "At Risk Loyalists", AND(Q146&gt;=4, P146&lt;=3), "Big Spenders", AND(O146&lt;=2, P146&lt;=2), "Lost / Dormant", TRUE, "Regular Customers")</f>
        <v>At Risk Loyalists</v>
      </c>
      <c r="T146" s="38"/>
    </row>
    <row r="147" spans="1:20" x14ac:dyDescent="0.2">
      <c r="A147" t="s">
        <v>186</v>
      </c>
      <c r="B147" t="s">
        <v>37</v>
      </c>
      <c r="C147" s="28">
        <v>31.25</v>
      </c>
      <c r="D147">
        <v>1</v>
      </c>
      <c r="E147" s="28">
        <v>32.6</v>
      </c>
      <c r="F147">
        <v>109</v>
      </c>
      <c r="G147">
        <v>32.1</v>
      </c>
      <c r="H147">
        <v>2</v>
      </c>
      <c r="I147" t="s">
        <v>33</v>
      </c>
      <c r="J147">
        <v>0</v>
      </c>
      <c r="K147">
        <v>33</v>
      </c>
      <c r="L147">
        <v>1.3</v>
      </c>
      <c r="M147" t="s">
        <v>53</v>
      </c>
      <c r="N147" t="s">
        <v>40</v>
      </c>
      <c r="O147">
        <f t="shared" si="8"/>
        <v>1</v>
      </c>
      <c r="P147">
        <f t="shared" si="9"/>
        <v>1</v>
      </c>
      <c r="Q147">
        <f t="shared" si="10"/>
        <v>1</v>
      </c>
      <c r="R147" s="25" t="str">
        <f t="shared" si="11"/>
        <v>111</v>
      </c>
      <c r="S147" t="str" cm="1">
        <f t="array" ref="S147">_xlfn.IFS(AND(O147&gt;=4, P147&gt;=4, Q147&gt;=4), "Champions", AND(O147&gt;=3, P147&gt;=4), "Loyal Customers", AND(O147&gt;=4, P147&lt;=2), "New / Promising", AND(O147&lt;=2, P147&gt;=4), "At Risk Loyalists", AND(Q147&gt;=4, P147&lt;=3), "Big Spenders", AND(O147&lt;=2, P147&lt;=2), "Lost / Dormant", TRUE, "Regular Customers")</f>
        <v>Lost / Dormant</v>
      </c>
      <c r="T147" s="38"/>
    </row>
    <row r="148" spans="1:20" x14ac:dyDescent="0.2">
      <c r="A148" t="s">
        <v>187</v>
      </c>
      <c r="B148" t="s">
        <v>35</v>
      </c>
      <c r="C148" s="28">
        <v>520.37</v>
      </c>
      <c r="D148">
        <v>8</v>
      </c>
      <c r="E148" s="28">
        <v>62.46</v>
      </c>
      <c r="F148">
        <v>32</v>
      </c>
      <c r="G148">
        <v>9.6</v>
      </c>
      <c r="H148">
        <v>4</v>
      </c>
      <c r="I148" t="s">
        <v>24</v>
      </c>
      <c r="J148">
        <v>14</v>
      </c>
      <c r="K148">
        <v>62.6</v>
      </c>
      <c r="L148">
        <v>29.2</v>
      </c>
      <c r="M148" t="s">
        <v>29</v>
      </c>
      <c r="N148" t="s">
        <v>40</v>
      </c>
      <c r="O148">
        <f t="shared" si="8"/>
        <v>4</v>
      </c>
      <c r="P148">
        <f t="shared" si="9"/>
        <v>5</v>
      </c>
      <c r="Q148">
        <f t="shared" si="10"/>
        <v>5</v>
      </c>
      <c r="R148" s="25" t="str">
        <f t="shared" si="11"/>
        <v>455</v>
      </c>
      <c r="S148" t="str" cm="1">
        <f t="array" ref="S148">_xlfn.IFS(AND(O148&gt;=4, P148&gt;=4, Q148&gt;=4), "Champions", AND(O148&gt;=3, P148&gt;=4), "Loyal Customers", AND(O148&gt;=4, P148&lt;=2), "New / Promising", AND(O148&lt;=2, P148&gt;=4), "At Risk Loyalists", AND(Q148&gt;=4, P148&lt;=3), "Big Spenders", AND(O148&lt;=2, P148&lt;=2), "Lost / Dormant", TRUE, "Regular Customers")</f>
        <v>Champions</v>
      </c>
      <c r="T148" s="38"/>
    </row>
    <row r="149" spans="1:20" x14ac:dyDescent="0.2">
      <c r="A149" t="s">
        <v>188</v>
      </c>
      <c r="B149" t="s">
        <v>58</v>
      </c>
      <c r="C149" s="28">
        <v>334.5</v>
      </c>
      <c r="D149">
        <v>6</v>
      </c>
      <c r="E149" s="28">
        <v>58.7</v>
      </c>
      <c r="F149">
        <v>35</v>
      </c>
      <c r="G149">
        <v>10.9</v>
      </c>
      <c r="H149">
        <v>3</v>
      </c>
      <c r="I149" t="s">
        <v>24</v>
      </c>
      <c r="J149">
        <v>18</v>
      </c>
      <c r="K149">
        <v>60.9</v>
      </c>
      <c r="L149">
        <v>9.4</v>
      </c>
      <c r="M149" t="s">
        <v>39</v>
      </c>
      <c r="N149" t="s">
        <v>45</v>
      </c>
      <c r="O149">
        <f t="shared" si="8"/>
        <v>3</v>
      </c>
      <c r="P149">
        <f t="shared" si="9"/>
        <v>4</v>
      </c>
      <c r="Q149">
        <f t="shared" si="10"/>
        <v>4</v>
      </c>
      <c r="R149" s="25" t="str">
        <f t="shared" si="11"/>
        <v>344</v>
      </c>
      <c r="S149" t="str" cm="1">
        <f t="array" ref="S149">_xlfn.IFS(AND(O149&gt;=4, P149&gt;=4, Q149&gt;=4), "Champions", AND(O149&gt;=3, P149&gt;=4), "Loyal Customers", AND(O149&gt;=4, P149&lt;=2), "New / Promising", AND(O149&lt;=2, P149&gt;=4), "At Risk Loyalists", AND(Q149&gt;=4, P149&lt;=3), "Big Spenders", AND(O149&lt;=2, P149&lt;=2), "Lost / Dormant", TRUE, "Regular Customers")</f>
        <v>Loyal Customers</v>
      </c>
      <c r="T149" s="38"/>
    </row>
    <row r="150" spans="1:20" x14ac:dyDescent="0.2">
      <c r="A150" t="s">
        <v>189</v>
      </c>
      <c r="B150" t="s">
        <v>37</v>
      </c>
      <c r="C150" s="28">
        <v>333.33</v>
      </c>
      <c r="D150">
        <v>6</v>
      </c>
      <c r="E150" s="28">
        <v>54.21</v>
      </c>
      <c r="F150">
        <v>38</v>
      </c>
      <c r="G150">
        <v>0</v>
      </c>
      <c r="H150">
        <v>5</v>
      </c>
      <c r="I150" t="s">
        <v>24</v>
      </c>
      <c r="J150">
        <v>9</v>
      </c>
      <c r="K150">
        <v>58.4</v>
      </c>
      <c r="L150">
        <v>16.7</v>
      </c>
      <c r="M150" t="s">
        <v>53</v>
      </c>
      <c r="N150" t="s">
        <v>43</v>
      </c>
      <c r="O150">
        <f t="shared" si="8"/>
        <v>3</v>
      </c>
      <c r="P150">
        <f t="shared" si="9"/>
        <v>4</v>
      </c>
      <c r="Q150">
        <f t="shared" si="10"/>
        <v>4</v>
      </c>
      <c r="R150" s="25" t="str">
        <f t="shared" si="11"/>
        <v>344</v>
      </c>
      <c r="S150" t="str" cm="1">
        <f t="array" ref="S150">_xlfn.IFS(AND(O150&gt;=4, P150&gt;=4, Q150&gt;=4), "Champions", AND(O150&gt;=3, P150&gt;=4), "Loyal Customers", AND(O150&gt;=4, P150&lt;=2), "New / Promising", AND(O150&lt;=2, P150&gt;=4), "At Risk Loyalists", AND(Q150&gt;=4, P150&lt;=3), "Big Spenders", AND(O150&lt;=2, P150&lt;=2), "Lost / Dormant", TRUE, "Regular Customers")</f>
        <v>Loyal Customers</v>
      </c>
      <c r="T150" s="38"/>
    </row>
    <row r="151" spans="1:20" x14ac:dyDescent="0.2">
      <c r="A151" t="s">
        <v>190</v>
      </c>
      <c r="B151" t="s">
        <v>23</v>
      </c>
      <c r="C151" s="28">
        <v>279.35000000000002</v>
      </c>
      <c r="D151">
        <v>4</v>
      </c>
      <c r="E151" s="28">
        <v>75.2</v>
      </c>
      <c r="F151">
        <v>23</v>
      </c>
      <c r="G151">
        <v>9</v>
      </c>
      <c r="H151">
        <v>4</v>
      </c>
      <c r="I151" t="s">
        <v>24</v>
      </c>
      <c r="J151">
        <v>10</v>
      </c>
      <c r="K151">
        <v>64.3</v>
      </c>
      <c r="L151">
        <v>3.2</v>
      </c>
      <c r="M151" t="s">
        <v>47</v>
      </c>
      <c r="N151" t="s">
        <v>26</v>
      </c>
      <c r="O151">
        <f t="shared" si="8"/>
        <v>4</v>
      </c>
      <c r="P151">
        <f t="shared" si="9"/>
        <v>3</v>
      </c>
      <c r="Q151">
        <f t="shared" si="10"/>
        <v>3</v>
      </c>
      <c r="R151" s="25" t="str">
        <f t="shared" si="11"/>
        <v>433</v>
      </c>
      <c r="S151" t="str" cm="1">
        <f t="array" ref="S151">_xlfn.IFS(AND(O151&gt;=4, P151&gt;=4, Q151&gt;=4), "Champions", AND(O151&gt;=3, P151&gt;=4), "Loyal Customers", AND(O151&gt;=4, P151&lt;=2), "New / Promising", AND(O151&lt;=2, P151&gt;=4), "At Risk Loyalists", AND(Q151&gt;=4, P151&lt;=3), "Big Spenders", AND(O151&lt;=2, P151&lt;=2), "Lost / Dormant", TRUE, "Regular Customers")</f>
        <v>Regular Customers</v>
      </c>
      <c r="T151" s="38"/>
    </row>
    <row r="152" spans="1:20" x14ac:dyDescent="0.2">
      <c r="A152" t="s">
        <v>191</v>
      </c>
      <c r="B152" t="s">
        <v>28</v>
      </c>
      <c r="C152" s="28">
        <v>99.74</v>
      </c>
      <c r="D152">
        <v>2</v>
      </c>
      <c r="E152" s="28">
        <v>48.23</v>
      </c>
      <c r="F152">
        <v>14</v>
      </c>
      <c r="G152">
        <v>32.799999999999997</v>
      </c>
      <c r="H152">
        <v>5</v>
      </c>
      <c r="I152" t="s">
        <v>33</v>
      </c>
      <c r="J152">
        <v>0</v>
      </c>
      <c r="K152">
        <v>52.6</v>
      </c>
      <c r="L152">
        <v>7.7</v>
      </c>
      <c r="M152" t="s">
        <v>25</v>
      </c>
      <c r="N152" t="s">
        <v>45</v>
      </c>
      <c r="O152">
        <f t="shared" si="8"/>
        <v>5</v>
      </c>
      <c r="P152">
        <f t="shared" si="9"/>
        <v>1</v>
      </c>
      <c r="Q152">
        <f t="shared" si="10"/>
        <v>1</v>
      </c>
      <c r="R152" s="25" t="str">
        <f t="shared" si="11"/>
        <v>511</v>
      </c>
      <c r="S152" t="str" cm="1">
        <f t="array" ref="S152">_xlfn.IFS(AND(O152&gt;=4, P152&gt;=4, Q152&gt;=4), "Champions", AND(O152&gt;=3, P152&gt;=4), "Loyal Customers", AND(O152&gt;=4, P152&lt;=2), "New / Promising", AND(O152&lt;=2, P152&gt;=4), "At Risk Loyalists", AND(Q152&gt;=4, P152&lt;=3), "Big Spenders", AND(O152&lt;=2, P152&lt;=2), "Lost / Dormant", TRUE, "Regular Customers")</f>
        <v>New / Promising</v>
      </c>
      <c r="T152" s="38"/>
    </row>
    <row r="153" spans="1:20" x14ac:dyDescent="0.2">
      <c r="A153" t="s">
        <v>192</v>
      </c>
      <c r="B153" t="s">
        <v>37</v>
      </c>
      <c r="C153" s="28">
        <v>117.81</v>
      </c>
      <c r="D153">
        <v>3</v>
      </c>
      <c r="E153" s="28">
        <v>38.28</v>
      </c>
      <c r="F153">
        <v>55</v>
      </c>
      <c r="G153">
        <v>53.5</v>
      </c>
      <c r="H153">
        <v>2</v>
      </c>
      <c r="I153" t="s">
        <v>33</v>
      </c>
      <c r="J153">
        <v>0</v>
      </c>
      <c r="K153">
        <v>52.6</v>
      </c>
      <c r="L153">
        <v>3.1</v>
      </c>
      <c r="M153" t="s">
        <v>55</v>
      </c>
      <c r="N153" t="s">
        <v>30</v>
      </c>
      <c r="O153">
        <f t="shared" si="8"/>
        <v>2</v>
      </c>
      <c r="P153">
        <f t="shared" si="9"/>
        <v>2</v>
      </c>
      <c r="Q153">
        <f t="shared" si="10"/>
        <v>1</v>
      </c>
      <c r="R153" s="25" t="str">
        <f t="shared" si="11"/>
        <v>221</v>
      </c>
      <c r="S153" t="str" cm="1">
        <f t="array" ref="S153">_xlfn.IFS(AND(O153&gt;=4, P153&gt;=4, Q153&gt;=4), "Champions", AND(O153&gt;=3, P153&gt;=4), "Loyal Customers", AND(O153&gt;=4, P153&lt;=2), "New / Promising", AND(O153&lt;=2, P153&gt;=4), "At Risk Loyalists", AND(Q153&gt;=4, P153&lt;=3), "Big Spenders", AND(O153&lt;=2, P153&lt;=2), "Lost / Dormant", TRUE, "Regular Customers")</f>
        <v>Lost / Dormant</v>
      </c>
      <c r="T153" s="38"/>
    </row>
    <row r="154" spans="1:20" x14ac:dyDescent="0.2">
      <c r="A154" t="s">
        <v>193</v>
      </c>
      <c r="B154" t="s">
        <v>37</v>
      </c>
      <c r="C154" s="28">
        <v>262.33</v>
      </c>
      <c r="D154">
        <v>5</v>
      </c>
      <c r="E154" s="28">
        <v>50.73</v>
      </c>
      <c r="F154">
        <v>44</v>
      </c>
      <c r="G154">
        <v>17.7</v>
      </c>
      <c r="H154">
        <v>5</v>
      </c>
      <c r="I154" t="s">
        <v>33</v>
      </c>
      <c r="J154">
        <v>0</v>
      </c>
      <c r="K154">
        <v>62</v>
      </c>
      <c r="L154">
        <v>5.0999999999999996</v>
      </c>
      <c r="M154" t="s">
        <v>47</v>
      </c>
      <c r="N154" t="s">
        <v>43</v>
      </c>
      <c r="O154">
        <f t="shared" si="8"/>
        <v>3</v>
      </c>
      <c r="P154">
        <f t="shared" si="9"/>
        <v>3</v>
      </c>
      <c r="Q154">
        <f t="shared" si="10"/>
        <v>3</v>
      </c>
      <c r="R154" s="25" t="str">
        <f t="shared" si="11"/>
        <v>333</v>
      </c>
      <c r="S154" t="str" cm="1">
        <f t="array" ref="S154">_xlfn.IFS(AND(O154&gt;=4, P154&gt;=4, Q154&gt;=4), "Champions", AND(O154&gt;=3, P154&gt;=4), "Loyal Customers", AND(O154&gt;=4, P154&lt;=2), "New / Promising", AND(O154&lt;=2, P154&gt;=4), "At Risk Loyalists", AND(Q154&gt;=4, P154&lt;=3), "Big Spenders", AND(O154&lt;=2, P154&lt;=2), "Lost / Dormant", TRUE, "Regular Customers")</f>
        <v>Regular Customers</v>
      </c>
      <c r="T154" s="38"/>
    </row>
    <row r="155" spans="1:20" x14ac:dyDescent="0.2">
      <c r="A155" t="s">
        <v>194</v>
      </c>
      <c r="B155" t="s">
        <v>58</v>
      </c>
      <c r="C155" s="28">
        <v>337.46</v>
      </c>
      <c r="D155">
        <v>6</v>
      </c>
      <c r="E155" s="28">
        <v>54.54</v>
      </c>
      <c r="F155">
        <v>70</v>
      </c>
      <c r="G155">
        <v>28.5</v>
      </c>
      <c r="H155">
        <v>6</v>
      </c>
      <c r="I155" t="s">
        <v>24</v>
      </c>
      <c r="J155">
        <v>11</v>
      </c>
      <c r="K155">
        <v>58</v>
      </c>
      <c r="L155">
        <v>17.100000000000001</v>
      </c>
      <c r="M155" t="s">
        <v>29</v>
      </c>
      <c r="N155" t="s">
        <v>40</v>
      </c>
      <c r="O155">
        <f t="shared" si="8"/>
        <v>2</v>
      </c>
      <c r="P155">
        <f t="shared" si="9"/>
        <v>4</v>
      </c>
      <c r="Q155">
        <f t="shared" si="10"/>
        <v>4</v>
      </c>
      <c r="R155" s="25" t="str">
        <f t="shared" si="11"/>
        <v>244</v>
      </c>
      <c r="S155" t="str" cm="1">
        <f t="array" ref="S155">_xlfn.IFS(AND(O155&gt;=4, P155&gt;=4, Q155&gt;=4), "Champions", AND(O155&gt;=3, P155&gt;=4), "Loyal Customers", AND(O155&gt;=4, P155&lt;=2), "New / Promising", AND(O155&lt;=2, P155&gt;=4), "At Risk Loyalists", AND(Q155&gt;=4, P155&lt;=3), "Big Spenders", AND(O155&lt;=2, P155&lt;=2), "Lost / Dormant", TRUE, "Regular Customers")</f>
        <v>At Risk Loyalists</v>
      </c>
      <c r="T155" s="38"/>
    </row>
    <row r="156" spans="1:20" x14ac:dyDescent="0.2">
      <c r="A156" t="s">
        <v>195</v>
      </c>
      <c r="B156" t="s">
        <v>28</v>
      </c>
      <c r="C156" s="28">
        <v>258.52</v>
      </c>
      <c r="D156">
        <v>4</v>
      </c>
      <c r="E156" s="28">
        <v>63.99</v>
      </c>
      <c r="F156">
        <v>50</v>
      </c>
      <c r="G156">
        <v>30.2</v>
      </c>
      <c r="H156">
        <v>4</v>
      </c>
      <c r="I156" t="s">
        <v>24</v>
      </c>
      <c r="J156">
        <v>4</v>
      </c>
      <c r="K156">
        <v>35.799999999999997</v>
      </c>
      <c r="L156">
        <v>18.3</v>
      </c>
      <c r="M156" t="s">
        <v>25</v>
      </c>
      <c r="N156" t="s">
        <v>26</v>
      </c>
      <c r="O156">
        <f t="shared" si="8"/>
        <v>2</v>
      </c>
      <c r="P156">
        <f t="shared" si="9"/>
        <v>3</v>
      </c>
      <c r="Q156">
        <f t="shared" si="10"/>
        <v>3</v>
      </c>
      <c r="R156" s="25" t="str">
        <f t="shared" si="11"/>
        <v>233</v>
      </c>
      <c r="S156" t="str" cm="1">
        <f t="array" ref="S156">_xlfn.IFS(AND(O156&gt;=4, P156&gt;=4, Q156&gt;=4), "Champions", AND(O156&gt;=3, P156&gt;=4), "Loyal Customers", AND(O156&gt;=4, P156&lt;=2), "New / Promising", AND(O156&lt;=2, P156&gt;=4), "At Risk Loyalists", AND(Q156&gt;=4, P156&lt;=3), "Big Spenders", AND(O156&lt;=2, P156&lt;=2), "Lost / Dormant", TRUE, "Regular Customers")</f>
        <v>Regular Customers</v>
      </c>
      <c r="T156" s="38"/>
    </row>
    <row r="157" spans="1:20" x14ac:dyDescent="0.2">
      <c r="A157" t="s">
        <v>196</v>
      </c>
      <c r="B157" t="s">
        <v>23</v>
      </c>
      <c r="C157" s="28">
        <v>271.38</v>
      </c>
      <c r="D157">
        <v>7</v>
      </c>
      <c r="E157" s="28">
        <v>41.96</v>
      </c>
      <c r="F157">
        <v>18</v>
      </c>
      <c r="G157">
        <v>56</v>
      </c>
      <c r="H157">
        <v>2</v>
      </c>
      <c r="I157" t="s">
        <v>33</v>
      </c>
      <c r="J157">
        <v>0</v>
      </c>
      <c r="K157">
        <v>30.9</v>
      </c>
      <c r="L157">
        <v>15.8</v>
      </c>
      <c r="M157" t="s">
        <v>47</v>
      </c>
      <c r="N157" t="s">
        <v>43</v>
      </c>
      <c r="O157">
        <f t="shared" si="8"/>
        <v>5</v>
      </c>
      <c r="P157">
        <f t="shared" si="9"/>
        <v>5</v>
      </c>
      <c r="Q157">
        <f t="shared" si="10"/>
        <v>3</v>
      </c>
      <c r="R157" s="25" t="str">
        <f t="shared" si="11"/>
        <v>553</v>
      </c>
      <c r="S157" t="str" cm="1">
        <f t="array" ref="S157">_xlfn.IFS(AND(O157&gt;=4, P157&gt;=4, Q157&gt;=4), "Champions", AND(O157&gt;=3, P157&gt;=4), "Loyal Customers", AND(O157&gt;=4, P157&lt;=2), "New / Promising", AND(O157&lt;=2, P157&gt;=4), "At Risk Loyalists", AND(Q157&gt;=4, P157&lt;=3), "Big Spenders", AND(O157&lt;=2, P157&lt;=2), "Lost / Dormant", TRUE, "Regular Customers")</f>
        <v>Loyal Customers</v>
      </c>
      <c r="T157" s="38"/>
    </row>
    <row r="158" spans="1:20" x14ac:dyDescent="0.2">
      <c r="A158" t="s">
        <v>197</v>
      </c>
      <c r="B158" t="s">
        <v>35</v>
      </c>
      <c r="C158" s="28">
        <v>115.93</v>
      </c>
      <c r="D158">
        <v>2</v>
      </c>
      <c r="E158" s="28">
        <v>54.79</v>
      </c>
      <c r="F158">
        <v>45</v>
      </c>
      <c r="G158">
        <v>34.9</v>
      </c>
      <c r="H158">
        <v>5</v>
      </c>
      <c r="I158" t="s">
        <v>24</v>
      </c>
      <c r="J158">
        <v>8</v>
      </c>
      <c r="K158">
        <v>66.2</v>
      </c>
      <c r="L158">
        <v>13.2</v>
      </c>
      <c r="M158" t="s">
        <v>47</v>
      </c>
      <c r="N158" t="s">
        <v>26</v>
      </c>
      <c r="O158">
        <f t="shared" si="8"/>
        <v>3</v>
      </c>
      <c r="P158">
        <f t="shared" si="9"/>
        <v>1</v>
      </c>
      <c r="Q158">
        <f t="shared" si="10"/>
        <v>1</v>
      </c>
      <c r="R158" s="25" t="str">
        <f t="shared" si="11"/>
        <v>311</v>
      </c>
      <c r="S158" t="str" cm="1">
        <f t="array" ref="S158">_xlfn.IFS(AND(O158&gt;=4, P158&gt;=4, Q158&gt;=4), "Champions", AND(O158&gt;=3, P158&gt;=4), "Loyal Customers", AND(O158&gt;=4, P158&lt;=2), "New / Promising", AND(O158&lt;=2, P158&gt;=4), "At Risk Loyalists", AND(Q158&gt;=4, P158&lt;=3), "Big Spenders", AND(O158&lt;=2, P158&lt;=2), "Lost / Dormant", TRUE, "Regular Customers")</f>
        <v>Regular Customers</v>
      </c>
      <c r="T158" s="38"/>
    </row>
    <row r="159" spans="1:20" x14ac:dyDescent="0.2">
      <c r="A159" t="s">
        <v>198</v>
      </c>
      <c r="B159" t="s">
        <v>32</v>
      </c>
      <c r="C159" s="28">
        <v>237.51</v>
      </c>
      <c r="D159">
        <v>6</v>
      </c>
      <c r="E159" s="28">
        <v>37.79</v>
      </c>
      <c r="F159">
        <v>61</v>
      </c>
      <c r="G159">
        <v>22.2</v>
      </c>
      <c r="H159">
        <v>2</v>
      </c>
      <c r="I159" t="s">
        <v>33</v>
      </c>
      <c r="J159">
        <v>0</v>
      </c>
      <c r="K159">
        <v>29.4</v>
      </c>
      <c r="L159">
        <v>11.5</v>
      </c>
      <c r="M159" t="s">
        <v>39</v>
      </c>
      <c r="N159" t="s">
        <v>43</v>
      </c>
      <c r="O159">
        <f t="shared" si="8"/>
        <v>2</v>
      </c>
      <c r="P159">
        <f t="shared" si="9"/>
        <v>4</v>
      </c>
      <c r="Q159">
        <f t="shared" si="10"/>
        <v>3</v>
      </c>
      <c r="R159" s="25" t="str">
        <f t="shared" si="11"/>
        <v>243</v>
      </c>
      <c r="S159" t="str" cm="1">
        <f t="array" ref="S159">_xlfn.IFS(AND(O159&gt;=4, P159&gt;=4, Q159&gt;=4), "Champions", AND(O159&gt;=3, P159&gt;=4), "Loyal Customers", AND(O159&gt;=4, P159&lt;=2), "New / Promising", AND(O159&lt;=2, P159&gt;=4), "At Risk Loyalists", AND(Q159&gt;=4, P159&lt;=3), "Big Spenders", AND(O159&lt;=2, P159&lt;=2), "Lost / Dormant", TRUE, "Regular Customers")</f>
        <v>At Risk Loyalists</v>
      </c>
      <c r="T159" s="38"/>
    </row>
    <row r="160" spans="1:20" x14ac:dyDescent="0.2">
      <c r="A160" t="s">
        <v>199</v>
      </c>
      <c r="B160" t="s">
        <v>37</v>
      </c>
      <c r="C160" s="28">
        <v>320.99</v>
      </c>
      <c r="D160">
        <v>7</v>
      </c>
      <c r="E160" s="28">
        <v>47.47</v>
      </c>
      <c r="F160">
        <v>64</v>
      </c>
      <c r="G160">
        <v>31.6</v>
      </c>
      <c r="H160">
        <v>3</v>
      </c>
      <c r="I160" t="s">
        <v>33</v>
      </c>
      <c r="J160">
        <v>0</v>
      </c>
      <c r="K160">
        <v>38.700000000000003</v>
      </c>
      <c r="L160">
        <v>7.4</v>
      </c>
      <c r="M160" t="s">
        <v>53</v>
      </c>
      <c r="N160" t="s">
        <v>26</v>
      </c>
      <c r="O160">
        <f t="shared" si="8"/>
        <v>2</v>
      </c>
      <c r="P160">
        <f t="shared" si="9"/>
        <v>5</v>
      </c>
      <c r="Q160">
        <f t="shared" si="10"/>
        <v>4</v>
      </c>
      <c r="R160" s="25" t="str">
        <f t="shared" si="11"/>
        <v>254</v>
      </c>
      <c r="S160" t="str" cm="1">
        <f t="array" ref="S160">_xlfn.IFS(AND(O160&gt;=4, P160&gt;=4, Q160&gt;=4), "Champions", AND(O160&gt;=3, P160&gt;=4), "Loyal Customers", AND(O160&gt;=4, P160&lt;=2), "New / Promising", AND(O160&lt;=2, P160&gt;=4), "At Risk Loyalists", AND(Q160&gt;=4, P160&lt;=3), "Big Spenders", AND(O160&lt;=2, P160&lt;=2), "Lost / Dormant", TRUE, "Regular Customers")</f>
        <v>At Risk Loyalists</v>
      </c>
      <c r="T160" s="38"/>
    </row>
    <row r="161" spans="1:20" x14ac:dyDescent="0.2">
      <c r="A161" t="s">
        <v>200</v>
      </c>
      <c r="B161" t="s">
        <v>32</v>
      </c>
      <c r="C161" s="28">
        <v>38.35</v>
      </c>
      <c r="D161">
        <v>1</v>
      </c>
      <c r="E161" s="28">
        <v>38.770000000000003</v>
      </c>
      <c r="F161">
        <v>190</v>
      </c>
      <c r="G161">
        <v>6.8</v>
      </c>
      <c r="H161">
        <v>1</v>
      </c>
      <c r="I161" t="s">
        <v>24</v>
      </c>
      <c r="J161">
        <v>6</v>
      </c>
      <c r="K161">
        <v>16.399999999999999</v>
      </c>
      <c r="L161">
        <v>7.8</v>
      </c>
      <c r="M161" t="s">
        <v>47</v>
      </c>
      <c r="N161" t="s">
        <v>26</v>
      </c>
      <c r="O161">
        <f t="shared" si="8"/>
        <v>1</v>
      </c>
      <c r="P161">
        <f t="shared" si="9"/>
        <v>1</v>
      </c>
      <c r="Q161">
        <f t="shared" si="10"/>
        <v>1</v>
      </c>
      <c r="R161" s="25" t="str">
        <f t="shared" si="11"/>
        <v>111</v>
      </c>
      <c r="S161" t="str" cm="1">
        <f t="array" ref="S161">_xlfn.IFS(AND(O161&gt;=4, P161&gt;=4, Q161&gt;=4), "Champions", AND(O161&gt;=3, P161&gt;=4), "Loyal Customers", AND(O161&gt;=4, P161&lt;=2), "New / Promising", AND(O161&lt;=2, P161&gt;=4), "At Risk Loyalists", AND(Q161&gt;=4, P161&lt;=3), "Big Spenders", AND(O161&lt;=2, P161&lt;=2), "Lost / Dormant", TRUE, "Regular Customers")</f>
        <v>Lost / Dormant</v>
      </c>
      <c r="T161" s="38"/>
    </row>
    <row r="162" spans="1:20" x14ac:dyDescent="0.2">
      <c r="A162" t="s">
        <v>201</v>
      </c>
      <c r="B162" t="s">
        <v>23</v>
      </c>
      <c r="C162" s="28">
        <v>136.44</v>
      </c>
      <c r="D162">
        <v>2</v>
      </c>
      <c r="E162" s="28">
        <v>69.12</v>
      </c>
      <c r="F162">
        <v>25</v>
      </c>
      <c r="G162">
        <v>24.4</v>
      </c>
      <c r="H162">
        <v>5</v>
      </c>
      <c r="I162" t="s">
        <v>33</v>
      </c>
      <c r="J162">
        <v>0</v>
      </c>
      <c r="K162">
        <v>53</v>
      </c>
      <c r="L162">
        <v>7.1</v>
      </c>
      <c r="M162" t="s">
        <v>25</v>
      </c>
      <c r="N162" t="s">
        <v>26</v>
      </c>
      <c r="O162">
        <f t="shared" si="8"/>
        <v>4</v>
      </c>
      <c r="P162">
        <f t="shared" si="9"/>
        <v>1</v>
      </c>
      <c r="Q162">
        <f t="shared" si="10"/>
        <v>2</v>
      </c>
      <c r="R162" s="25" t="str">
        <f t="shared" si="11"/>
        <v>412</v>
      </c>
      <c r="S162" t="str" cm="1">
        <f t="array" ref="S162">_xlfn.IFS(AND(O162&gt;=4, P162&gt;=4, Q162&gt;=4), "Champions", AND(O162&gt;=3, P162&gt;=4), "Loyal Customers", AND(O162&gt;=4, P162&lt;=2), "New / Promising", AND(O162&lt;=2, P162&gt;=4), "At Risk Loyalists", AND(Q162&gt;=4, P162&lt;=3), "Big Spenders", AND(O162&lt;=2, P162&lt;=2), "Lost / Dormant", TRUE, "Regular Customers")</f>
        <v>New / Promising</v>
      </c>
      <c r="T162" s="38"/>
    </row>
    <row r="163" spans="1:20" x14ac:dyDescent="0.2">
      <c r="A163" t="s">
        <v>202</v>
      </c>
      <c r="B163" t="s">
        <v>35</v>
      </c>
      <c r="C163" s="28">
        <v>350.2</v>
      </c>
      <c r="D163">
        <v>6</v>
      </c>
      <c r="E163" s="28">
        <v>54.28</v>
      </c>
      <c r="F163">
        <v>17</v>
      </c>
      <c r="G163">
        <v>28.6</v>
      </c>
      <c r="H163">
        <v>4</v>
      </c>
      <c r="I163" t="s">
        <v>33</v>
      </c>
      <c r="J163">
        <v>0</v>
      </c>
      <c r="K163">
        <v>34.700000000000003</v>
      </c>
      <c r="L163">
        <v>13.4</v>
      </c>
      <c r="M163" t="s">
        <v>29</v>
      </c>
      <c r="N163" t="s">
        <v>30</v>
      </c>
      <c r="O163">
        <f t="shared" si="8"/>
        <v>5</v>
      </c>
      <c r="P163">
        <f t="shared" si="9"/>
        <v>4</v>
      </c>
      <c r="Q163">
        <f t="shared" si="10"/>
        <v>4</v>
      </c>
      <c r="R163" s="25" t="str">
        <f t="shared" si="11"/>
        <v>544</v>
      </c>
      <c r="S163" t="str" cm="1">
        <f t="array" ref="S163">_xlfn.IFS(AND(O163&gt;=4, P163&gt;=4, Q163&gt;=4), "Champions", AND(O163&gt;=3, P163&gt;=4), "Loyal Customers", AND(O163&gt;=4, P163&lt;=2), "New / Promising", AND(O163&lt;=2, P163&gt;=4), "At Risk Loyalists", AND(Q163&gt;=4, P163&lt;=3), "Big Spenders", AND(O163&lt;=2, P163&lt;=2), "Lost / Dormant", TRUE, "Regular Customers")</f>
        <v>Champions</v>
      </c>
      <c r="T163" s="38"/>
    </row>
    <row r="164" spans="1:20" x14ac:dyDescent="0.2">
      <c r="A164" t="s">
        <v>203</v>
      </c>
      <c r="B164" t="s">
        <v>35</v>
      </c>
      <c r="C164" s="28">
        <v>198.19</v>
      </c>
      <c r="D164">
        <v>4</v>
      </c>
      <c r="E164" s="28">
        <v>49.68</v>
      </c>
      <c r="F164">
        <v>53</v>
      </c>
      <c r="G164">
        <v>34.9</v>
      </c>
      <c r="H164">
        <v>3</v>
      </c>
      <c r="I164" t="s">
        <v>24</v>
      </c>
      <c r="J164">
        <v>5</v>
      </c>
      <c r="K164">
        <v>39.700000000000003</v>
      </c>
      <c r="L164">
        <v>9.6999999999999993</v>
      </c>
      <c r="M164" t="s">
        <v>29</v>
      </c>
      <c r="N164" t="s">
        <v>45</v>
      </c>
      <c r="O164">
        <f t="shared" si="8"/>
        <v>2</v>
      </c>
      <c r="P164">
        <f t="shared" si="9"/>
        <v>3</v>
      </c>
      <c r="Q164">
        <f t="shared" si="10"/>
        <v>2</v>
      </c>
      <c r="R164" s="25" t="str">
        <f t="shared" si="11"/>
        <v>232</v>
      </c>
      <c r="S164" t="str" cm="1">
        <f t="array" ref="S164">_xlfn.IFS(AND(O164&gt;=4, P164&gt;=4, Q164&gt;=4), "Champions", AND(O164&gt;=3, P164&gt;=4), "Loyal Customers", AND(O164&gt;=4, P164&lt;=2), "New / Promising", AND(O164&lt;=2, P164&gt;=4), "At Risk Loyalists", AND(Q164&gt;=4, P164&lt;=3), "Big Spenders", AND(O164&lt;=2, P164&lt;=2), "Lost / Dormant", TRUE, "Regular Customers")</f>
        <v>Regular Customers</v>
      </c>
      <c r="T164" s="38"/>
    </row>
    <row r="165" spans="1:20" x14ac:dyDescent="0.2">
      <c r="A165" t="s">
        <v>204</v>
      </c>
      <c r="B165" t="s">
        <v>58</v>
      </c>
      <c r="C165" s="28">
        <v>127.01</v>
      </c>
      <c r="D165">
        <v>4</v>
      </c>
      <c r="E165" s="28">
        <v>33.97</v>
      </c>
      <c r="F165">
        <v>41</v>
      </c>
      <c r="G165">
        <v>50.5</v>
      </c>
      <c r="H165">
        <v>2</v>
      </c>
      <c r="I165" t="s">
        <v>24</v>
      </c>
      <c r="J165">
        <v>6</v>
      </c>
      <c r="K165">
        <v>37.200000000000003</v>
      </c>
      <c r="L165">
        <v>10.7</v>
      </c>
      <c r="M165" t="s">
        <v>47</v>
      </c>
      <c r="N165" t="s">
        <v>30</v>
      </c>
      <c r="O165">
        <f t="shared" si="8"/>
        <v>3</v>
      </c>
      <c r="P165">
        <f t="shared" si="9"/>
        <v>3</v>
      </c>
      <c r="Q165">
        <f t="shared" si="10"/>
        <v>1</v>
      </c>
      <c r="R165" s="25" t="str">
        <f t="shared" si="11"/>
        <v>331</v>
      </c>
      <c r="S165" t="str" cm="1">
        <f t="array" ref="S165">_xlfn.IFS(AND(O165&gt;=4, P165&gt;=4, Q165&gt;=4), "Champions", AND(O165&gt;=3, P165&gt;=4), "Loyal Customers", AND(O165&gt;=4, P165&lt;=2), "New / Promising", AND(O165&lt;=2, P165&gt;=4), "At Risk Loyalists", AND(Q165&gt;=4, P165&lt;=3), "Big Spenders", AND(O165&lt;=2, P165&lt;=2), "Lost / Dormant", TRUE, "Regular Customers")</f>
        <v>Regular Customers</v>
      </c>
      <c r="T165" s="38"/>
    </row>
    <row r="166" spans="1:20" x14ac:dyDescent="0.2">
      <c r="A166" t="s">
        <v>205</v>
      </c>
      <c r="B166" t="s">
        <v>37</v>
      </c>
      <c r="C166" s="28">
        <v>457.13</v>
      </c>
      <c r="D166">
        <v>9</v>
      </c>
      <c r="E166" s="28">
        <v>52.72</v>
      </c>
      <c r="F166">
        <v>56</v>
      </c>
      <c r="G166">
        <v>32.4</v>
      </c>
      <c r="H166">
        <v>3</v>
      </c>
      <c r="I166" t="s">
        <v>33</v>
      </c>
      <c r="J166">
        <v>0</v>
      </c>
      <c r="K166">
        <v>26.5</v>
      </c>
      <c r="L166">
        <v>3.7</v>
      </c>
      <c r="M166" t="s">
        <v>25</v>
      </c>
      <c r="N166" t="s">
        <v>40</v>
      </c>
      <c r="O166">
        <f t="shared" si="8"/>
        <v>2</v>
      </c>
      <c r="P166">
        <f t="shared" si="9"/>
        <v>5</v>
      </c>
      <c r="Q166">
        <f t="shared" si="10"/>
        <v>4</v>
      </c>
      <c r="R166" s="25" t="str">
        <f t="shared" si="11"/>
        <v>254</v>
      </c>
      <c r="S166" t="str" cm="1">
        <f t="array" ref="S166">_xlfn.IFS(AND(O166&gt;=4, P166&gt;=4, Q166&gt;=4), "Champions", AND(O166&gt;=3, P166&gt;=4), "Loyal Customers", AND(O166&gt;=4, P166&lt;=2), "New / Promising", AND(O166&lt;=2, P166&gt;=4), "At Risk Loyalists", AND(Q166&gt;=4, P166&lt;=3), "Big Spenders", AND(O166&lt;=2, P166&lt;=2), "Lost / Dormant", TRUE, "Regular Customers")</f>
        <v>At Risk Loyalists</v>
      </c>
      <c r="T166" s="38"/>
    </row>
    <row r="167" spans="1:20" x14ac:dyDescent="0.2">
      <c r="A167" t="s">
        <v>206</v>
      </c>
      <c r="B167" t="s">
        <v>32</v>
      </c>
      <c r="C167" s="28">
        <v>207.45</v>
      </c>
      <c r="D167">
        <v>3</v>
      </c>
      <c r="E167" s="28">
        <v>67.209999999999994</v>
      </c>
      <c r="F167">
        <v>164</v>
      </c>
      <c r="G167">
        <v>24.7</v>
      </c>
      <c r="H167">
        <v>2</v>
      </c>
      <c r="I167" t="s">
        <v>33</v>
      </c>
      <c r="J167">
        <v>0</v>
      </c>
      <c r="K167">
        <v>35.299999999999997</v>
      </c>
      <c r="L167">
        <v>7.2</v>
      </c>
      <c r="M167" t="s">
        <v>39</v>
      </c>
      <c r="N167" t="s">
        <v>43</v>
      </c>
      <c r="O167">
        <f t="shared" si="8"/>
        <v>1</v>
      </c>
      <c r="P167">
        <f t="shared" si="9"/>
        <v>2</v>
      </c>
      <c r="Q167">
        <f t="shared" si="10"/>
        <v>2</v>
      </c>
      <c r="R167" s="25" t="str">
        <f t="shared" si="11"/>
        <v>122</v>
      </c>
      <c r="S167" t="str" cm="1">
        <f t="array" ref="S167">_xlfn.IFS(AND(O167&gt;=4, P167&gt;=4, Q167&gt;=4), "Champions", AND(O167&gt;=3, P167&gt;=4), "Loyal Customers", AND(O167&gt;=4, P167&lt;=2), "New / Promising", AND(O167&lt;=2, P167&gt;=4), "At Risk Loyalists", AND(Q167&gt;=4, P167&lt;=3), "Big Spenders", AND(O167&lt;=2, P167&lt;=2), "Lost / Dormant", TRUE, "Regular Customers")</f>
        <v>Lost / Dormant</v>
      </c>
      <c r="T167" s="38"/>
    </row>
    <row r="168" spans="1:20" x14ac:dyDescent="0.2">
      <c r="A168" t="s">
        <v>207</v>
      </c>
      <c r="B168" t="s">
        <v>23</v>
      </c>
      <c r="C168" s="28">
        <v>514.78</v>
      </c>
      <c r="D168">
        <v>7</v>
      </c>
      <c r="E168" s="28">
        <v>71.569999999999993</v>
      </c>
      <c r="F168">
        <v>30</v>
      </c>
      <c r="G168">
        <v>2.8</v>
      </c>
      <c r="H168">
        <v>4</v>
      </c>
      <c r="I168" t="s">
        <v>24</v>
      </c>
      <c r="J168">
        <v>11</v>
      </c>
      <c r="K168">
        <v>51.4</v>
      </c>
      <c r="L168">
        <v>18.100000000000001</v>
      </c>
      <c r="M168" t="s">
        <v>47</v>
      </c>
      <c r="N168" t="s">
        <v>43</v>
      </c>
      <c r="O168">
        <f t="shared" si="8"/>
        <v>4</v>
      </c>
      <c r="P168">
        <f t="shared" si="9"/>
        <v>5</v>
      </c>
      <c r="Q168">
        <f t="shared" si="10"/>
        <v>5</v>
      </c>
      <c r="R168" s="25" t="str">
        <f t="shared" si="11"/>
        <v>455</v>
      </c>
      <c r="S168" t="str" cm="1">
        <f t="array" ref="S168">_xlfn.IFS(AND(O168&gt;=4, P168&gt;=4, Q168&gt;=4), "Champions", AND(O168&gt;=3, P168&gt;=4), "Loyal Customers", AND(O168&gt;=4, P168&lt;=2), "New / Promising", AND(O168&lt;=2, P168&gt;=4), "At Risk Loyalists", AND(Q168&gt;=4, P168&lt;=3), "Big Spenders", AND(O168&lt;=2, P168&lt;=2), "Lost / Dormant", TRUE, "Regular Customers")</f>
        <v>Champions</v>
      </c>
      <c r="T168" s="38"/>
    </row>
    <row r="169" spans="1:20" x14ac:dyDescent="0.2">
      <c r="A169" t="s">
        <v>208</v>
      </c>
      <c r="B169" t="s">
        <v>37</v>
      </c>
      <c r="C169" s="28">
        <v>453.16</v>
      </c>
      <c r="D169">
        <v>7</v>
      </c>
      <c r="E169" s="28">
        <v>70.260000000000005</v>
      </c>
      <c r="F169">
        <v>19</v>
      </c>
      <c r="G169">
        <v>13.4</v>
      </c>
      <c r="H169">
        <v>3</v>
      </c>
      <c r="I169" t="s">
        <v>24</v>
      </c>
      <c r="J169">
        <v>15</v>
      </c>
      <c r="K169">
        <v>76.099999999999994</v>
      </c>
      <c r="L169">
        <v>13.5</v>
      </c>
      <c r="M169" t="s">
        <v>53</v>
      </c>
      <c r="N169" t="s">
        <v>45</v>
      </c>
      <c r="O169">
        <f t="shared" si="8"/>
        <v>5</v>
      </c>
      <c r="P169">
        <f t="shared" si="9"/>
        <v>5</v>
      </c>
      <c r="Q169">
        <f t="shared" si="10"/>
        <v>4</v>
      </c>
      <c r="R169" s="25" t="str">
        <f t="shared" si="11"/>
        <v>554</v>
      </c>
      <c r="S169" t="str" cm="1">
        <f t="array" ref="S169">_xlfn.IFS(AND(O169&gt;=4, P169&gt;=4, Q169&gt;=4), "Champions", AND(O169&gt;=3, P169&gt;=4), "Loyal Customers", AND(O169&gt;=4, P169&lt;=2), "New / Promising", AND(O169&lt;=2, P169&gt;=4), "At Risk Loyalists", AND(Q169&gt;=4, P169&lt;=3), "Big Spenders", AND(O169&lt;=2, P169&lt;=2), "Lost / Dormant", TRUE, "Regular Customers")</f>
        <v>Champions</v>
      </c>
      <c r="T169" s="38"/>
    </row>
    <row r="170" spans="1:20" x14ac:dyDescent="0.2">
      <c r="A170" t="s">
        <v>209</v>
      </c>
      <c r="B170" t="s">
        <v>37</v>
      </c>
      <c r="C170" s="28">
        <v>440.32</v>
      </c>
      <c r="D170">
        <v>9</v>
      </c>
      <c r="E170" s="28">
        <v>53.05</v>
      </c>
      <c r="F170">
        <v>53</v>
      </c>
      <c r="G170">
        <v>32.5</v>
      </c>
      <c r="H170">
        <v>2</v>
      </c>
      <c r="I170" t="s">
        <v>24</v>
      </c>
      <c r="J170">
        <v>6</v>
      </c>
      <c r="K170">
        <v>41.6</v>
      </c>
      <c r="L170">
        <v>12.3</v>
      </c>
      <c r="M170" t="s">
        <v>29</v>
      </c>
      <c r="N170" t="s">
        <v>43</v>
      </c>
      <c r="O170">
        <f t="shared" si="8"/>
        <v>2</v>
      </c>
      <c r="P170">
        <f t="shared" si="9"/>
        <v>5</v>
      </c>
      <c r="Q170">
        <f t="shared" si="10"/>
        <v>4</v>
      </c>
      <c r="R170" s="25" t="str">
        <f t="shared" si="11"/>
        <v>254</v>
      </c>
      <c r="S170" t="str" cm="1">
        <f t="array" ref="S170">_xlfn.IFS(AND(O170&gt;=4, P170&gt;=4, Q170&gt;=4), "Champions", AND(O170&gt;=3, P170&gt;=4), "Loyal Customers", AND(O170&gt;=4, P170&lt;=2), "New / Promising", AND(O170&lt;=2, P170&gt;=4), "At Risk Loyalists", AND(Q170&gt;=4, P170&lt;=3), "Big Spenders", AND(O170&lt;=2, P170&lt;=2), "Lost / Dormant", TRUE, "Regular Customers")</f>
        <v>At Risk Loyalists</v>
      </c>
      <c r="T170" s="38"/>
    </row>
    <row r="171" spans="1:20" x14ac:dyDescent="0.2">
      <c r="A171" t="s">
        <v>210</v>
      </c>
      <c r="B171" t="s">
        <v>35</v>
      </c>
      <c r="C171" s="28">
        <v>136.12</v>
      </c>
      <c r="D171">
        <v>4</v>
      </c>
      <c r="E171" s="28">
        <v>36.479999999999997</v>
      </c>
      <c r="F171">
        <v>23</v>
      </c>
      <c r="G171">
        <v>37</v>
      </c>
      <c r="H171">
        <v>2</v>
      </c>
      <c r="I171" t="s">
        <v>33</v>
      </c>
      <c r="J171">
        <v>0</v>
      </c>
      <c r="K171">
        <v>30.8</v>
      </c>
      <c r="L171">
        <v>16.5</v>
      </c>
      <c r="M171" t="s">
        <v>53</v>
      </c>
      <c r="N171" t="s">
        <v>40</v>
      </c>
      <c r="O171">
        <f t="shared" si="8"/>
        <v>4</v>
      </c>
      <c r="P171">
        <f t="shared" si="9"/>
        <v>3</v>
      </c>
      <c r="Q171">
        <f t="shared" si="10"/>
        <v>2</v>
      </c>
      <c r="R171" s="25" t="str">
        <f t="shared" si="11"/>
        <v>432</v>
      </c>
      <c r="S171" t="str" cm="1">
        <f t="array" ref="S171">_xlfn.IFS(AND(O171&gt;=4, P171&gt;=4, Q171&gt;=4), "Champions", AND(O171&gt;=3, P171&gt;=4), "Loyal Customers", AND(O171&gt;=4, P171&lt;=2), "New / Promising", AND(O171&lt;=2, P171&gt;=4), "At Risk Loyalists", AND(Q171&gt;=4, P171&lt;=3), "Big Spenders", AND(O171&lt;=2, P171&lt;=2), "Lost / Dormant", TRUE, "Regular Customers")</f>
        <v>Regular Customers</v>
      </c>
      <c r="T171" s="38"/>
    </row>
    <row r="172" spans="1:20" x14ac:dyDescent="0.2">
      <c r="A172" t="s">
        <v>211</v>
      </c>
      <c r="B172" t="s">
        <v>35</v>
      </c>
      <c r="C172" s="28">
        <v>299.75</v>
      </c>
      <c r="D172">
        <v>7</v>
      </c>
      <c r="E172" s="28">
        <v>46</v>
      </c>
      <c r="F172">
        <v>41</v>
      </c>
      <c r="G172">
        <v>53.7</v>
      </c>
      <c r="H172">
        <v>3</v>
      </c>
      <c r="I172" t="s">
        <v>24</v>
      </c>
      <c r="J172">
        <v>10</v>
      </c>
      <c r="K172">
        <v>44.8</v>
      </c>
      <c r="L172">
        <v>10.6</v>
      </c>
      <c r="M172" t="s">
        <v>25</v>
      </c>
      <c r="N172" t="s">
        <v>26</v>
      </c>
      <c r="O172">
        <f t="shared" si="8"/>
        <v>3</v>
      </c>
      <c r="P172">
        <f t="shared" si="9"/>
        <v>5</v>
      </c>
      <c r="Q172">
        <f t="shared" si="10"/>
        <v>3</v>
      </c>
      <c r="R172" s="25" t="str">
        <f t="shared" si="11"/>
        <v>353</v>
      </c>
      <c r="S172" t="str" cm="1">
        <f t="array" ref="S172">_xlfn.IFS(AND(O172&gt;=4, P172&gt;=4, Q172&gt;=4), "Champions", AND(O172&gt;=3, P172&gt;=4), "Loyal Customers", AND(O172&gt;=4, P172&lt;=2), "New / Promising", AND(O172&lt;=2, P172&gt;=4), "At Risk Loyalists", AND(Q172&gt;=4, P172&lt;=3), "Big Spenders", AND(O172&lt;=2, P172&lt;=2), "Lost / Dormant", TRUE, "Regular Customers")</f>
        <v>Loyal Customers</v>
      </c>
      <c r="T172" s="38"/>
    </row>
    <row r="173" spans="1:20" x14ac:dyDescent="0.2">
      <c r="A173" t="s">
        <v>212</v>
      </c>
      <c r="B173" t="s">
        <v>37</v>
      </c>
      <c r="C173" s="28">
        <v>860.83</v>
      </c>
      <c r="D173">
        <v>11</v>
      </c>
      <c r="E173" s="28">
        <v>78.83</v>
      </c>
      <c r="F173">
        <v>36</v>
      </c>
      <c r="G173">
        <v>10.7</v>
      </c>
      <c r="H173">
        <v>6</v>
      </c>
      <c r="I173" t="s">
        <v>24</v>
      </c>
      <c r="J173">
        <v>15</v>
      </c>
      <c r="K173">
        <v>52.8</v>
      </c>
      <c r="L173">
        <v>21.5</v>
      </c>
      <c r="M173" t="s">
        <v>53</v>
      </c>
      <c r="N173" t="s">
        <v>40</v>
      </c>
      <c r="O173">
        <f t="shared" si="8"/>
        <v>3</v>
      </c>
      <c r="P173">
        <f t="shared" si="9"/>
        <v>5</v>
      </c>
      <c r="Q173">
        <f t="shared" si="10"/>
        <v>5</v>
      </c>
      <c r="R173" s="25" t="str">
        <f t="shared" si="11"/>
        <v>355</v>
      </c>
      <c r="S173" t="str" cm="1">
        <f t="array" ref="S173">_xlfn.IFS(AND(O173&gt;=4, P173&gt;=4, Q173&gt;=4), "Champions", AND(O173&gt;=3, P173&gt;=4), "Loyal Customers", AND(O173&gt;=4, P173&lt;=2), "New / Promising", AND(O173&lt;=2, P173&gt;=4), "At Risk Loyalists", AND(Q173&gt;=4, P173&lt;=3), "Big Spenders", AND(O173&lt;=2, P173&lt;=2), "Lost / Dormant", TRUE, "Regular Customers")</f>
        <v>Loyal Customers</v>
      </c>
      <c r="T173" s="38"/>
    </row>
    <row r="174" spans="1:20" x14ac:dyDescent="0.2">
      <c r="A174" t="s">
        <v>213</v>
      </c>
      <c r="B174" t="s">
        <v>58</v>
      </c>
      <c r="C174" s="28">
        <v>487.17</v>
      </c>
      <c r="D174">
        <v>9</v>
      </c>
      <c r="E174" s="28">
        <v>58.61</v>
      </c>
      <c r="F174">
        <v>16</v>
      </c>
      <c r="G174">
        <v>16.2</v>
      </c>
      <c r="H174">
        <v>5</v>
      </c>
      <c r="I174" t="s">
        <v>24</v>
      </c>
      <c r="J174">
        <v>14</v>
      </c>
      <c r="K174">
        <v>58.2</v>
      </c>
      <c r="L174">
        <v>13.6</v>
      </c>
      <c r="M174" t="s">
        <v>25</v>
      </c>
      <c r="N174" t="s">
        <v>26</v>
      </c>
      <c r="O174">
        <f t="shared" si="8"/>
        <v>5</v>
      </c>
      <c r="P174">
        <f t="shared" si="9"/>
        <v>5</v>
      </c>
      <c r="Q174">
        <f t="shared" si="10"/>
        <v>5</v>
      </c>
      <c r="R174" s="25" t="str">
        <f t="shared" si="11"/>
        <v>555</v>
      </c>
      <c r="S174" t="str" cm="1">
        <f t="array" ref="S174">_xlfn.IFS(AND(O174&gt;=4, P174&gt;=4, Q174&gt;=4), "Champions", AND(O174&gt;=3, P174&gt;=4), "Loyal Customers", AND(O174&gt;=4, P174&lt;=2), "New / Promising", AND(O174&lt;=2, P174&gt;=4), "At Risk Loyalists", AND(Q174&gt;=4, P174&lt;=3), "Big Spenders", AND(O174&lt;=2, P174&lt;=2), "Lost / Dormant", TRUE, "Regular Customers")</f>
        <v>Champions</v>
      </c>
      <c r="T174" s="38"/>
    </row>
    <row r="175" spans="1:20" x14ac:dyDescent="0.2">
      <c r="A175" t="s">
        <v>214</v>
      </c>
      <c r="B175" t="s">
        <v>37</v>
      </c>
      <c r="C175" s="28">
        <v>284.83999999999997</v>
      </c>
      <c r="D175">
        <v>4</v>
      </c>
      <c r="E175" s="28">
        <v>72.25</v>
      </c>
      <c r="F175">
        <v>23</v>
      </c>
      <c r="G175">
        <v>0.5</v>
      </c>
      <c r="H175">
        <v>3</v>
      </c>
      <c r="I175" t="s">
        <v>33</v>
      </c>
      <c r="J175">
        <v>0</v>
      </c>
      <c r="K175">
        <v>59</v>
      </c>
      <c r="L175">
        <v>14.1</v>
      </c>
      <c r="M175" t="s">
        <v>29</v>
      </c>
      <c r="N175" t="s">
        <v>45</v>
      </c>
      <c r="O175">
        <f t="shared" si="8"/>
        <v>4</v>
      </c>
      <c r="P175">
        <f t="shared" si="9"/>
        <v>3</v>
      </c>
      <c r="Q175">
        <f t="shared" si="10"/>
        <v>3</v>
      </c>
      <c r="R175" s="25" t="str">
        <f t="shared" si="11"/>
        <v>433</v>
      </c>
      <c r="S175" t="str" cm="1">
        <f t="array" ref="S175">_xlfn.IFS(AND(O175&gt;=4, P175&gt;=4, Q175&gt;=4), "Champions", AND(O175&gt;=3, P175&gt;=4), "Loyal Customers", AND(O175&gt;=4, P175&lt;=2), "New / Promising", AND(O175&lt;=2, P175&gt;=4), "At Risk Loyalists", AND(Q175&gt;=4, P175&lt;=3), "Big Spenders", AND(O175&lt;=2, P175&lt;=2), "Lost / Dormant", TRUE, "Regular Customers")</f>
        <v>Regular Customers</v>
      </c>
      <c r="T175" s="38"/>
    </row>
    <row r="176" spans="1:20" x14ac:dyDescent="0.2">
      <c r="A176" t="s">
        <v>215</v>
      </c>
      <c r="B176" t="s">
        <v>35</v>
      </c>
      <c r="C176" s="28">
        <v>126.23</v>
      </c>
      <c r="D176">
        <v>2</v>
      </c>
      <c r="E176" s="28">
        <v>65.319999999999993</v>
      </c>
      <c r="F176">
        <v>29</v>
      </c>
      <c r="G176">
        <v>23.2</v>
      </c>
      <c r="H176">
        <v>5</v>
      </c>
      <c r="I176" t="s">
        <v>33</v>
      </c>
      <c r="J176">
        <v>0</v>
      </c>
      <c r="K176">
        <v>51.4</v>
      </c>
      <c r="L176">
        <v>9.5</v>
      </c>
      <c r="M176" t="s">
        <v>47</v>
      </c>
      <c r="N176" t="s">
        <v>30</v>
      </c>
      <c r="O176">
        <f t="shared" si="8"/>
        <v>4</v>
      </c>
      <c r="P176">
        <f t="shared" si="9"/>
        <v>1</v>
      </c>
      <c r="Q176">
        <f t="shared" si="10"/>
        <v>1</v>
      </c>
      <c r="R176" s="25" t="str">
        <f t="shared" si="11"/>
        <v>411</v>
      </c>
      <c r="S176" t="str" cm="1">
        <f t="array" ref="S176">_xlfn.IFS(AND(O176&gt;=4, P176&gt;=4, Q176&gt;=4), "Champions", AND(O176&gt;=3, P176&gt;=4), "Loyal Customers", AND(O176&gt;=4, P176&lt;=2), "New / Promising", AND(O176&lt;=2, P176&gt;=4), "At Risk Loyalists", AND(Q176&gt;=4, P176&lt;=3), "Big Spenders", AND(O176&lt;=2, P176&lt;=2), "Lost / Dormant", TRUE, "Regular Customers")</f>
        <v>New / Promising</v>
      </c>
      <c r="T176" s="38"/>
    </row>
    <row r="177" spans="1:20" x14ac:dyDescent="0.2">
      <c r="A177" t="s">
        <v>216</v>
      </c>
      <c r="B177" t="s">
        <v>37</v>
      </c>
      <c r="C177" s="28">
        <v>209.17</v>
      </c>
      <c r="D177">
        <v>6</v>
      </c>
      <c r="E177" s="28">
        <v>33.32</v>
      </c>
      <c r="F177">
        <v>98</v>
      </c>
      <c r="G177">
        <v>38.1</v>
      </c>
      <c r="H177">
        <v>4</v>
      </c>
      <c r="I177" t="s">
        <v>33</v>
      </c>
      <c r="J177">
        <v>0</v>
      </c>
      <c r="K177">
        <v>48.5</v>
      </c>
      <c r="L177">
        <v>8.1</v>
      </c>
      <c r="M177" t="s">
        <v>25</v>
      </c>
      <c r="N177" t="s">
        <v>40</v>
      </c>
      <c r="O177">
        <f t="shared" si="8"/>
        <v>2</v>
      </c>
      <c r="P177">
        <f t="shared" si="9"/>
        <v>4</v>
      </c>
      <c r="Q177">
        <f t="shared" si="10"/>
        <v>3</v>
      </c>
      <c r="R177" s="25" t="str">
        <f t="shared" si="11"/>
        <v>243</v>
      </c>
      <c r="S177" t="str" cm="1">
        <f t="array" ref="S177">_xlfn.IFS(AND(O177&gt;=4, P177&gt;=4, Q177&gt;=4), "Champions", AND(O177&gt;=3, P177&gt;=4), "Loyal Customers", AND(O177&gt;=4, P177&lt;=2), "New / Promising", AND(O177&lt;=2, P177&gt;=4), "At Risk Loyalists", AND(Q177&gt;=4, P177&lt;=3), "Big Spenders", AND(O177&lt;=2, P177&lt;=2), "Lost / Dormant", TRUE, "Regular Customers")</f>
        <v>At Risk Loyalists</v>
      </c>
      <c r="T177" s="38"/>
    </row>
    <row r="178" spans="1:20" x14ac:dyDescent="0.2">
      <c r="A178" t="s">
        <v>217</v>
      </c>
      <c r="B178" t="s">
        <v>35</v>
      </c>
      <c r="C178" s="28">
        <v>279.86</v>
      </c>
      <c r="D178">
        <v>7</v>
      </c>
      <c r="E178" s="28">
        <v>39.96</v>
      </c>
      <c r="F178">
        <v>46</v>
      </c>
      <c r="G178">
        <v>46.5</v>
      </c>
      <c r="H178">
        <v>3</v>
      </c>
      <c r="I178" t="s">
        <v>33</v>
      </c>
      <c r="J178">
        <v>0</v>
      </c>
      <c r="K178">
        <v>15.8</v>
      </c>
      <c r="L178">
        <v>14.3</v>
      </c>
      <c r="M178" t="s">
        <v>29</v>
      </c>
      <c r="N178" t="s">
        <v>26</v>
      </c>
      <c r="O178">
        <f t="shared" si="8"/>
        <v>3</v>
      </c>
      <c r="P178">
        <f t="shared" si="9"/>
        <v>5</v>
      </c>
      <c r="Q178">
        <f t="shared" si="10"/>
        <v>3</v>
      </c>
      <c r="R178" s="25" t="str">
        <f t="shared" si="11"/>
        <v>353</v>
      </c>
      <c r="S178" t="str" cm="1">
        <f t="array" ref="S178">_xlfn.IFS(AND(O178&gt;=4, P178&gt;=4, Q178&gt;=4), "Champions", AND(O178&gt;=3, P178&gt;=4), "Loyal Customers", AND(O178&gt;=4, P178&lt;=2), "New / Promising", AND(O178&lt;=2, P178&gt;=4), "At Risk Loyalists", AND(Q178&gt;=4, P178&lt;=3), "Big Spenders", AND(O178&lt;=2, P178&lt;=2), "Lost / Dormant", TRUE, "Regular Customers")</f>
        <v>Loyal Customers</v>
      </c>
      <c r="T178" s="38"/>
    </row>
    <row r="179" spans="1:20" x14ac:dyDescent="0.2">
      <c r="A179" t="s">
        <v>218</v>
      </c>
      <c r="B179" t="s">
        <v>23</v>
      </c>
      <c r="C179" s="28">
        <v>60.46</v>
      </c>
      <c r="D179">
        <v>1</v>
      </c>
      <c r="E179" s="28">
        <v>59.41</v>
      </c>
      <c r="F179">
        <v>181</v>
      </c>
      <c r="G179">
        <v>18.899999999999999</v>
      </c>
      <c r="H179">
        <v>2</v>
      </c>
      <c r="I179" t="s">
        <v>33</v>
      </c>
      <c r="J179">
        <v>0</v>
      </c>
      <c r="K179">
        <v>18.899999999999999</v>
      </c>
      <c r="L179">
        <v>9.8000000000000007</v>
      </c>
      <c r="M179" t="s">
        <v>47</v>
      </c>
      <c r="N179" t="s">
        <v>30</v>
      </c>
      <c r="O179">
        <f t="shared" si="8"/>
        <v>1</v>
      </c>
      <c r="P179">
        <f t="shared" si="9"/>
        <v>1</v>
      </c>
      <c r="Q179">
        <f t="shared" si="10"/>
        <v>1</v>
      </c>
      <c r="R179" s="25" t="str">
        <f t="shared" si="11"/>
        <v>111</v>
      </c>
      <c r="S179" t="str" cm="1">
        <f t="array" ref="S179">_xlfn.IFS(AND(O179&gt;=4, P179&gt;=4, Q179&gt;=4), "Champions", AND(O179&gt;=3, P179&gt;=4), "Loyal Customers", AND(O179&gt;=4, P179&lt;=2), "New / Promising", AND(O179&lt;=2, P179&gt;=4), "At Risk Loyalists", AND(Q179&gt;=4, P179&lt;=3), "Big Spenders", AND(O179&lt;=2, P179&lt;=2), "Lost / Dormant", TRUE, "Regular Customers")</f>
        <v>Lost / Dormant</v>
      </c>
      <c r="T179" s="38"/>
    </row>
    <row r="180" spans="1:20" x14ac:dyDescent="0.2">
      <c r="A180" t="s">
        <v>219</v>
      </c>
      <c r="B180" t="s">
        <v>28</v>
      </c>
      <c r="C180" s="28">
        <v>474.7</v>
      </c>
      <c r="D180">
        <v>8</v>
      </c>
      <c r="E180" s="28">
        <v>62.74</v>
      </c>
      <c r="F180">
        <v>12</v>
      </c>
      <c r="G180">
        <v>15.3</v>
      </c>
      <c r="H180">
        <v>3</v>
      </c>
      <c r="I180" t="s">
        <v>24</v>
      </c>
      <c r="J180">
        <v>10</v>
      </c>
      <c r="K180">
        <v>57.3</v>
      </c>
      <c r="L180">
        <v>24.7</v>
      </c>
      <c r="M180" t="s">
        <v>47</v>
      </c>
      <c r="N180" t="s">
        <v>40</v>
      </c>
      <c r="O180">
        <f t="shared" si="8"/>
        <v>5</v>
      </c>
      <c r="P180">
        <f t="shared" si="9"/>
        <v>5</v>
      </c>
      <c r="Q180">
        <f t="shared" si="10"/>
        <v>5</v>
      </c>
      <c r="R180" s="25" t="str">
        <f t="shared" si="11"/>
        <v>555</v>
      </c>
      <c r="S180" t="str" cm="1">
        <f t="array" ref="S180">_xlfn.IFS(AND(O180&gt;=4, P180&gt;=4, Q180&gt;=4), "Champions", AND(O180&gt;=3, P180&gt;=4), "Loyal Customers", AND(O180&gt;=4, P180&lt;=2), "New / Promising", AND(O180&lt;=2, P180&gt;=4), "At Risk Loyalists", AND(Q180&gt;=4, P180&lt;=3), "Big Spenders", AND(O180&lt;=2, P180&lt;=2), "Lost / Dormant", TRUE, "Regular Customers")</f>
        <v>Champions</v>
      </c>
      <c r="T180" s="38"/>
    </row>
    <row r="181" spans="1:20" x14ac:dyDescent="0.2">
      <c r="A181" t="s">
        <v>220</v>
      </c>
      <c r="B181" t="s">
        <v>37</v>
      </c>
      <c r="C181" s="28">
        <v>134.07</v>
      </c>
      <c r="D181">
        <v>3</v>
      </c>
      <c r="E181" s="28">
        <v>46.67</v>
      </c>
      <c r="F181">
        <v>29</v>
      </c>
      <c r="G181">
        <v>23.8</v>
      </c>
      <c r="H181">
        <v>6</v>
      </c>
      <c r="I181" t="s">
        <v>24</v>
      </c>
      <c r="J181">
        <v>9</v>
      </c>
      <c r="K181">
        <v>46.5</v>
      </c>
      <c r="L181">
        <v>10</v>
      </c>
      <c r="M181" t="s">
        <v>47</v>
      </c>
      <c r="N181" t="s">
        <v>30</v>
      </c>
      <c r="O181">
        <f t="shared" si="8"/>
        <v>4</v>
      </c>
      <c r="P181">
        <f t="shared" si="9"/>
        <v>2</v>
      </c>
      <c r="Q181">
        <f t="shared" si="10"/>
        <v>2</v>
      </c>
      <c r="R181" s="25" t="str">
        <f t="shared" si="11"/>
        <v>422</v>
      </c>
      <c r="S181" t="str" cm="1">
        <f t="array" ref="S181">_xlfn.IFS(AND(O181&gt;=4, P181&gt;=4, Q181&gt;=4), "Champions", AND(O181&gt;=3, P181&gt;=4), "Loyal Customers", AND(O181&gt;=4, P181&lt;=2), "New / Promising", AND(O181&lt;=2, P181&gt;=4), "At Risk Loyalists", AND(Q181&gt;=4, P181&lt;=3), "Big Spenders", AND(O181&lt;=2, P181&lt;=2), "Lost / Dormant", TRUE, "Regular Customers")</f>
        <v>New / Promising</v>
      </c>
      <c r="T181" s="38"/>
    </row>
    <row r="182" spans="1:20" x14ac:dyDescent="0.2">
      <c r="A182" t="s">
        <v>221</v>
      </c>
      <c r="B182" t="s">
        <v>23</v>
      </c>
      <c r="C182" s="28">
        <v>530</v>
      </c>
      <c r="D182">
        <v>7</v>
      </c>
      <c r="E182" s="28">
        <v>76.8</v>
      </c>
      <c r="F182">
        <v>2</v>
      </c>
      <c r="G182">
        <v>10.1</v>
      </c>
      <c r="H182">
        <v>6</v>
      </c>
      <c r="I182" t="s">
        <v>33</v>
      </c>
      <c r="J182">
        <v>0</v>
      </c>
      <c r="K182">
        <v>51.9</v>
      </c>
      <c r="L182">
        <v>13</v>
      </c>
      <c r="M182" t="s">
        <v>47</v>
      </c>
      <c r="N182" t="s">
        <v>30</v>
      </c>
      <c r="O182">
        <f t="shared" si="8"/>
        <v>5</v>
      </c>
      <c r="P182">
        <f t="shared" si="9"/>
        <v>5</v>
      </c>
      <c r="Q182">
        <f t="shared" si="10"/>
        <v>5</v>
      </c>
      <c r="R182" s="25" t="str">
        <f t="shared" si="11"/>
        <v>555</v>
      </c>
      <c r="S182" t="str" cm="1">
        <f t="array" ref="S182">_xlfn.IFS(AND(O182&gt;=4, P182&gt;=4, Q182&gt;=4), "Champions", AND(O182&gt;=3, P182&gt;=4), "Loyal Customers", AND(O182&gt;=4, P182&lt;=2), "New / Promising", AND(O182&lt;=2, P182&gt;=4), "At Risk Loyalists", AND(Q182&gt;=4, P182&lt;=3), "Big Spenders", AND(O182&lt;=2, P182&lt;=2), "Lost / Dormant", TRUE, "Regular Customers")</f>
        <v>Champions</v>
      </c>
      <c r="T182" s="38"/>
    </row>
    <row r="183" spans="1:20" x14ac:dyDescent="0.2">
      <c r="A183" t="s">
        <v>222</v>
      </c>
      <c r="B183" t="s">
        <v>37</v>
      </c>
      <c r="C183" s="28">
        <v>358.7</v>
      </c>
      <c r="D183">
        <v>5</v>
      </c>
      <c r="E183" s="28">
        <v>75.28</v>
      </c>
      <c r="F183">
        <v>11</v>
      </c>
      <c r="G183">
        <v>17.5</v>
      </c>
      <c r="H183">
        <v>4</v>
      </c>
      <c r="I183" t="s">
        <v>24</v>
      </c>
      <c r="J183">
        <v>10</v>
      </c>
      <c r="K183">
        <v>46.5</v>
      </c>
      <c r="L183">
        <v>18.2</v>
      </c>
      <c r="M183" t="s">
        <v>39</v>
      </c>
      <c r="N183" t="s">
        <v>30</v>
      </c>
      <c r="O183">
        <f t="shared" si="8"/>
        <v>5</v>
      </c>
      <c r="P183">
        <f t="shared" si="9"/>
        <v>3</v>
      </c>
      <c r="Q183">
        <f t="shared" si="10"/>
        <v>4</v>
      </c>
      <c r="R183" s="25" t="str">
        <f t="shared" si="11"/>
        <v>534</v>
      </c>
      <c r="S183" t="str" cm="1">
        <f t="array" ref="S183">_xlfn.IFS(AND(O183&gt;=4, P183&gt;=4, Q183&gt;=4), "Champions", AND(O183&gt;=3, P183&gt;=4), "Loyal Customers", AND(O183&gt;=4, P183&lt;=2), "New / Promising", AND(O183&lt;=2, P183&gt;=4), "At Risk Loyalists", AND(Q183&gt;=4, P183&lt;=3), "Big Spenders", AND(O183&lt;=2, P183&lt;=2), "Lost / Dormant", TRUE, "Regular Customers")</f>
        <v>Big Spenders</v>
      </c>
      <c r="T183" s="38"/>
    </row>
    <row r="184" spans="1:20" x14ac:dyDescent="0.2">
      <c r="A184" t="s">
        <v>223</v>
      </c>
      <c r="B184" t="s">
        <v>28</v>
      </c>
      <c r="C184" s="28">
        <v>197.37</v>
      </c>
      <c r="D184">
        <v>4</v>
      </c>
      <c r="E184" s="28">
        <v>48.87</v>
      </c>
      <c r="F184">
        <v>40</v>
      </c>
      <c r="G184">
        <v>45.2</v>
      </c>
      <c r="H184">
        <v>1</v>
      </c>
      <c r="I184" t="s">
        <v>33</v>
      </c>
      <c r="J184">
        <v>0</v>
      </c>
      <c r="K184">
        <v>37.5</v>
      </c>
      <c r="L184">
        <v>6.9</v>
      </c>
      <c r="M184" t="s">
        <v>29</v>
      </c>
      <c r="N184" t="s">
        <v>43</v>
      </c>
      <c r="O184">
        <f t="shared" si="8"/>
        <v>3</v>
      </c>
      <c r="P184">
        <f t="shared" si="9"/>
        <v>3</v>
      </c>
      <c r="Q184">
        <f t="shared" si="10"/>
        <v>2</v>
      </c>
      <c r="R184" s="25" t="str">
        <f t="shared" si="11"/>
        <v>332</v>
      </c>
      <c r="S184" t="str" cm="1">
        <f t="array" ref="S184">_xlfn.IFS(AND(O184&gt;=4, P184&gt;=4, Q184&gt;=4), "Champions", AND(O184&gt;=3, P184&gt;=4), "Loyal Customers", AND(O184&gt;=4, P184&lt;=2), "New / Promising", AND(O184&lt;=2, P184&gt;=4), "At Risk Loyalists", AND(Q184&gt;=4, P184&lt;=3), "Big Spenders", AND(O184&lt;=2, P184&lt;=2), "Lost / Dormant", TRUE, "Regular Customers")</f>
        <v>Regular Customers</v>
      </c>
      <c r="T184" s="38"/>
    </row>
    <row r="185" spans="1:20" x14ac:dyDescent="0.2">
      <c r="A185" t="s">
        <v>224</v>
      </c>
      <c r="B185" t="s">
        <v>32</v>
      </c>
      <c r="C185" s="28">
        <v>490.67</v>
      </c>
      <c r="D185">
        <v>7</v>
      </c>
      <c r="E185" s="28">
        <v>66.97</v>
      </c>
      <c r="F185">
        <v>66</v>
      </c>
      <c r="G185">
        <v>28.8</v>
      </c>
      <c r="H185">
        <v>5</v>
      </c>
      <c r="I185" t="s">
        <v>33</v>
      </c>
      <c r="J185">
        <v>0</v>
      </c>
      <c r="K185">
        <v>51.9</v>
      </c>
      <c r="L185">
        <v>2.6</v>
      </c>
      <c r="M185" t="s">
        <v>29</v>
      </c>
      <c r="N185" t="s">
        <v>30</v>
      </c>
      <c r="O185">
        <f t="shared" si="8"/>
        <v>2</v>
      </c>
      <c r="P185">
        <f t="shared" si="9"/>
        <v>5</v>
      </c>
      <c r="Q185">
        <f t="shared" si="10"/>
        <v>5</v>
      </c>
      <c r="R185" s="25" t="str">
        <f t="shared" si="11"/>
        <v>255</v>
      </c>
      <c r="S185" t="str" cm="1">
        <f t="array" ref="S185">_xlfn.IFS(AND(O185&gt;=4, P185&gt;=4, Q185&gt;=4), "Champions", AND(O185&gt;=3, P185&gt;=4), "Loyal Customers", AND(O185&gt;=4, P185&lt;=2), "New / Promising", AND(O185&lt;=2, P185&gt;=4), "At Risk Loyalists", AND(Q185&gt;=4, P185&lt;=3), "Big Spenders", AND(O185&lt;=2, P185&lt;=2), "Lost / Dormant", TRUE, "Regular Customers")</f>
        <v>At Risk Loyalists</v>
      </c>
      <c r="T185" s="38"/>
    </row>
    <row r="186" spans="1:20" x14ac:dyDescent="0.2">
      <c r="A186" t="s">
        <v>225</v>
      </c>
      <c r="B186" t="s">
        <v>23</v>
      </c>
      <c r="C186" s="28">
        <v>171.71</v>
      </c>
      <c r="D186">
        <v>4</v>
      </c>
      <c r="E186" s="28">
        <v>46.13</v>
      </c>
      <c r="F186">
        <v>20</v>
      </c>
      <c r="G186">
        <v>24</v>
      </c>
      <c r="H186">
        <v>4</v>
      </c>
      <c r="I186" t="s">
        <v>24</v>
      </c>
      <c r="J186">
        <v>7</v>
      </c>
      <c r="K186">
        <v>57.4</v>
      </c>
      <c r="L186">
        <v>15.5</v>
      </c>
      <c r="M186" t="s">
        <v>25</v>
      </c>
      <c r="N186" t="s">
        <v>30</v>
      </c>
      <c r="O186">
        <f t="shared" si="8"/>
        <v>5</v>
      </c>
      <c r="P186">
        <f t="shared" si="9"/>
        <v>3</v>
      </c>
      <c r="Q186">
        <f t="shared" si="10"/>
        <v>2</v>
      </c>
      <c r="R186" s="25" t="str">
        <f t="shared" si="11"/>
        <v>532</v>
      </c>
      <c r="S186" t="str" cm="1">
        <f t="array" ref="S186">_xlfn.IFS(AND(O186&gt;=4, P186&gt;=4, Q186&gt;=4), "Champions", AND(O186&gt;=3, P186&gt;=4), "Loyal Customers", AND(O186&gt;=4, P186&lt;=2), "New / Promising", AND(O186&lt;=2, P186&gt;=4), "At Risk Loyalists", AND(Q186&gt;=4, P186&lt;=3), "Big Spenders", AND(O186&lt;=2, P186&lt;=2), "Lost / Dormant", TRUE, "Regular Customers")</f>
        <v>Regular Customers</v>
      </c>
      <c r="T186" s="38"/>
    </row>
    <row r="187" spans="1:20" x14ac:dyDescent="0.2">
      <c r="A187" t="s">
        <v>226</v>
      </c>
      <c r="B187" t="s">
        <v>35</v>
      </c>
      <c r="C187" s="28">
        <v>217.55</v>
      </c>
      <c r="D187">
        <v>6</v>
      </c>
      <c r="E187" s="28">
        <v>37.15</v>
      </c>
      <c r="F187">
        <v>64</v>
      </c>
      <c r="G187">
        <v>50.5</v>
      </c>
      <c r="H187">
        <v>2</v>
      </c>
      <c r="I187" t="s">
        <v>33</v>
      </c>
      <c r="J187">
        <v>0</v>
      </c>
      <c r="K187">
        <v>27.2</v>
      </c>
      <c r="L187">
        <v>7.2</v>
      </c>
      <c r="M187" t="s">
        <v>53</v>
      </c>
      <c r="N187" t="s">
        <v>40</v>
      </c>
      <c r="O187">
        <f t="shared" si="8"/>
        <v>2</v>
      </c>
      <c r="P187">
        <f t="shared" si="9"/>
        <v>4</v>
      </c>
      <c r="Q187">
        <f t="shared" si="10"/>
        <v>3</v>
      </c>
      <c r="R187" s="25" t="str">
        <f t="shared" si="11"/>
        <v>243</v>
      </c>
      <c r="S187" t="str" cm="1">
        <f t="array" ref="S187">_xlfn.IFS(AND(O187&gt;=4, P187&gt;=4, Q187&gt;=4), "Champions", AND(O187&gt;=3, P187&gt;=4), "Loyal Customers", AND(O187&gt;=4, P187&lt;=2), "New / Promising", AND(O187&lt;=2, P187&gt;=4), "At Risk Loyalists", AND(Q187&gt;=4, P187&lt;=3), "Big Spenders", AND(O187&lt;=2, P187&lt;=2), "Lost / Dormant", TRUE, "Regular Customers")</f>
        <v>At Risk Loyalists</v>
      </c>
      <c r="T187" s="38"/>
    </row>
    <row r="188" spans="1:20" x14ac:dyDescent="0.2">
      <c r="A188" t="s">
        <v>227</v>
      </c>
      <c r="B188" t="s">
        <v>32</v>
      </c>
      <c r="C188" s="28">
        <v>97.22</v>
      </c>
      <c r="D188">
        <v>2</v>
      </c>
      <c r="E188" s="28">
        <v>52.79</v>
      </c>
      <c r="F188">
        <v>40</v>
      </c>
      <c r="G188">
        <v>16</v>
      </c>
      <c r="H188">
        <v>2</v>
      </c>
      <c r="I188" t="s">
        <v>33</v>
      </c>
      <c r="J188">
        <v>0</v>
      </c>
      <c r="K188">
        <v>32.200000000000003</v>
      </c>
      <c r="L188">
        <v>4.4000000000000004</v>
      </c>
      <c r="M188" t="s">
        <v>47</v>
      </c>
      <c r="N188" t="s">
        <v>26</v>
      </c>
      <c r="O188">
        <f t="shared" si="8"/>
        <v>3</v>
      </c>
      <c r="P188">
        <f t="shared" si="9"/>
        <v>1</v>
      </c>
      <c r="Q188">
        <f t="shared" si="10"/>
        <v>1</v>
      </c>
      <c r="R188" s="25" t="str">
        <f t="shared" si="11"/>
        <v>311</v>
      </c>
      <c r="S188" t="str" cm="1">
        <f t="array" ref="S188">_xlfn.IFS(AND(O188&gt;=4, P188&gt;=4, Q188&gt;=4), "Champions", AND(O188&gt;=3, P188&gt;=4), "Loyal Customers", AND(O188&gt;=4, P188&lt;=2), "New / Promising", AND(O188&lt;=2, P188&gt;=4), "At Risk Loyalists", AND(Q188&gt;=4, P188&lt;=3), "Big Spenders", AND(O188&lt;=2, P188&lt;=2), "Lost / Dormant", TRUE, "Regular Customers")</f>
        <v>Regular Customers</v>
      </c>
      <c r="T188" s="38"/>
    </row>
    <row r="189" spans="1:20" x14ac:dyDescent="0.2">
      <c r="A189" t="s">
        <v>228</v>
      </c>
      <c r="B189" t="s">
        <v>58</v>
      </c>
      <c r="C189" s="28">
        <v>973.55</v>
      </c>
      <c r="D189">
        <v>12</v>
      </c>
      <c r="E189" s="28">
        <v>77.989999999999995</v>
      </c>
      <c r="F189">
        <v>15</v>
      </c>
      <c r="G189">
        <v>16</v>
      </c>
      <c r="H189">
        <v>4</v>
      </c>
      <c r="I189" t="s">
        <v>33</v>
      </c>
      <c r="J189">
        <v>0</v>
      </c>
      <c r="K189">
        <v>72.8</v>
      </c>
      <c r="L189">
        <v>18.100000000000001</v>
      </c>
      <c r="M189" t="s">
        <v>39</v>
      </c>
      <c r="N189" t="s">
        <v>43</v>
      </c>
      <c r="O189">
        <f t="shared" si="8"/>
        <v>5</v>
      </c>
      <c r="P189">
        <f t="shared" si="9"/>
        <v>5</v>
      </c>
      <c r="Q189">
        <f t="shared" si="10"/>
        <v>5</v>
      </c>
      <c r="R189" s="25" t="str">
        <f t="shared" si="11"/>
        <v>555</v>
      </c>
      <c r="S189" t="str" cm="1">
        <f t="array" ref="S189">_xlfn.IFS(AND(O189&gt;=4, P189&gt;=4, Q189&gt;=4), "Champions", AND(O189&gt;=3, P189&gt;=4), "Loyal Customers", AND(O189&gt;=4, P189&lt;=2), "New / Promising", AND(O189&lt;=2, P189&gt;=4), "At Risk Loyalists", AND(Q189&gt;=4, P189&lt;=3), "Big Spenders", AND(O189&lt;=2, P189&lt;=2), "Lost / Dormant", TRUE, "Regular Customers")</f>
        <v>Champions</v>
      </c>
      <c r="T189" s="38"/>
    </row>
    <row r="190" spans="1:20" x14ac:dyDescent="0.2">
      <c r="A190" t="s">
        <v>229</v>
      </c>
      <c r="B190" t="s">
        <v>58</v>
      </c>
      <c r="C190" s="28">
        <v>367.61</v>
      </c>
      <c r="D190">
        <v>5</v>
      </c>
      <c r="E190" s="28">
        <v>70.69</v>
      </c>
      <c r="F190">
        <v>19</v>
      </c>
      <c r="G190">
        <v>30.1</v>
      </c>
      <c r="H190">
        <v>6</v>
      </c>
      <c r="I190" t="s">
        <v>24</v>
      </c>
      <c r="J190">
        <v>10</v>
      </c>
      <c r="K190">
        <v>49.5</v>
      </c>
      <c r="L190">
        <v>12.4</v>
      </c>
      <c r="M190" t="s">
        <v>39</v>
      </c>
      <c r="N190" t="s">
        <v>40</v>
      </c>
      <c r="O190">
        <f t="shared" si="8"/>
        <v>5</v>
      </c>
      <c r="P190">
        <f t="shared" si="9"/>
        <v>3</v>
      </c>
      <c r="Q190">
        <f t="shared" si="10"/>
        <v>4</v>
      </c>
      <c r="R190" s="25" t="str">
        <f t="shared" si="11"/>
        <v>534</v>
      </c>
      <c r="S190" t="str" cm="1">
        <f t="array" ref="S190">_xlfn.IFS(AND(O190&gt;=4, P190&gt;=4, Q190&gt;=4), "Champions", AND(O190&gt;=3, P190&gt;=4), "Loyal Customers", AND(O190&gt;=4, P190&lt;=2), "New / Promising", AND(O190&lt;=2, P190&gt;=4), "At Risk Loyalists", AND(Q190&gt;=4, P190&lt;=3), "Big Spenders", AND(O190&lt;=2, P190&lt;=2), "Lost / Dormant", TRUE, "Regular Customers")</f>
        <v>Big Spenders</v>
      </c>
      <c r="T190" s="38"/>
    </row>
    <row r="191" spans="1:20" x14ac:dyDescent="0.2">
      <c r="A191" t="s">
        <v>230</v>
      </c>
      <c r="B191" t="s">
        <v>23</v>
      </c>
      <c r="C191" s="28">
        <v>621.71</v>
      </c>
      <c r="D191">
        <v>8</v>
      </c>
      <c r="E191" s="28">
        <v>75.11</v>
      </c>
      <c r="F191">
        <v>36</v>
      </c>
      <c r="G191">
        <v>22.2</v>
      </c>
      <c r="H191">
        <v>4</v>
      </c>
      <c r="I191" t="s">
        <v>24</v>
      </c>
      <c r="J191">
        <v>15</v>
      </c>
      <c r="K191">
        <v>54.9</v>
      </c>
      <c r="L191">
        <v>9.9</v>
      </c>
      <c r="M191" t="s">
        <v>55</v>
      </c>
      <c r="N191" t="s">
        <v>45</v>
      </c>
      <c r="O191">
        <f t="shared" si="8"/>
        <v>3</v>
      </c>
      <c r="P191">
        <f t="shared" si="9"/>
        <v>5</v>
      </c>
      <c r="Q191">
        <f t="shared" si="10"/>
        <v>5</v>
      </c>
      <c r="R191" s="25" t="str">
        <f t="shared" si="11"/>
        <v>355</v>
      </c>
      <c r="S191" t="str" cm="1">
        <f t="array" ref="S191">_xlfn.IFS(AND(O191&gt;=4, P191&gt;=4, Q191&gt;=4), "Champions", AND(O191&gt;=3, P191&gt;=4), "Loyal Customers", AND(O191&gt;=4, P191&lt;=2), "New / Promising", AND(O191&lt;=2, P191&gt;=4), "At Risk Loyalists", AND(Q191&gt;=4, P191&lt;=3), "Big Spenders", AND(O191&lt;=2, P191&lt;=2), "Lost / Dormant", TRUE, "Regular Customers")</f>
        <v>Loyal Customers</v>
      </c>
      <c r="T191" s="38"/>
    </row>
    <row r="192" spans="1:20" x14ac:dyDescent="0.2">
      <c r="A192" t="s">
        <v>231</v>
      </c>
      <c r="B192" t="s">
        <v>37</v>
      </c>
      <c r="C192" s="28">
        <v>145.81</v>
      </c>
      <c r="D192">
        <v>3</v>
      </c>
      <c r="E192" s="28">
        <v>52.13</v>
      </c>
      <c r="F192">
        <v>20</v>
      </c>
      <c r="G192">
        <v>15.1</v>
      </c>
      <c r="H192">
        <v>4</v>
      </c>
      <c r="I192" t="s">
        <v>33</v>
      </c>
      <c r="J192">
        <v>0</v>
      </c>
      <c r="K192">
        <v>33.9</v>
      </c>
      <c r="L192">
        <v>6.1</v>
      </c>
      <c r="M192" t="s">
        <v>25</v>
      </c>
      <c r="N192" t="s">
        <v>43</v>
      </c>
      <c r="O192">
        <f t="shared" si="8"/>
        <v>5</v>
      </c>
      <c r="P192">
        <f t="shared" si="9"/>
        <v>2</v>
      </c>
      <c r="Q192">
        <f t="shared" si="10"/>
        <v>2</v>
      </c>
      <c r="R192" s="25" t="str">
        <f t="shared" si="11"/>
        <v>522</v>
      </c>
      <c r="S192" t="str" cm="1">
        <f t="array" ref="S192">_xlfn.IFS(AND(O192&gt;=4, P192&gt;=4, Q192&gt;=4), "Champions", AND(O192&gt;=3, P192&gt;=4), "Loyal Customers", AND(O192&gt;=4, P192&lt;=2), "New / Promising", AND(O192&lt;=2, P192&gt;=4), "At Risk Loyalists", AND(Q192&gt;=4, P192&lt;=3), "Big Spenders", AND(O192&lt;=2, P192&lt;=2), "Lost / Dormant", TRUE, "Regular Customers")</f>
        <v>New / Promising</v>
      </c>
      <c r="T192" s="38"/>
    </row>
    <row r="193" spans="1:20" x14ac:dyDescent="0.2">
      <c r="A193" t="s">
        <v>232</v>
      </c>
      <c r="B193" t="s">
        <v>32</v>
      </c>
      <c r="C193" s="28">
        <v>127.33</v>
      </c>
      <c r="D193">
        <v>3</v>
      </c>
      <c r="E193" s="28">
        <v>44.11</v>
      </c>
      <c r="F193">
        <v>162</v>
      </c>
      <c r="G193">
        <v>37.200000000000003</v>
      </c>
      <c r="H193">
        <v>3</v>
      </c>
      <c r="I193" t="s">
        <v>33</v>
      </c>
      <c r="J193">
        <v>0</v>
      </c>
      <c r="K193">
        <v>29.4</v>
      </c>
      <c r="L193">
        <v>1.7</v>
      </c>
      <c r="M193" t="s">
        <v>47</v>
      </c>
      <c r="N193" t="s">
        <v>30</v>
      </c>
      <c r="O193">
        <f t="shared" si="8"/>
        <v>1</v>
      </c>
      <c r="P193">
        <f t="shared" si="9"/>
        <v>2</v>
      </c>
      <c r="Q193">
        <f t="shared" si="10"/>
        <v>1</v>
      </c>
      <c r="R193" s="25" t="str">
        <f t="shared" si="11"/>
        <v>121</v>
      </c>
      <c r="S193" t="str" cm="1">
        <f t="array" ref="S193">_xlfn.IFS(AND(O193&gt;=4, P193&gt;=4, Q193&gt;=4), "Champions", AND(O193&gt;=3, P193&gt;=4), "Loyal Customers", AND(O193&gt;=4, P193&lt;=2), "New / Promising", AND(O193&lt;=2, P193&gt;=4), "At Risk Loyalists", AND(Q193&gt;=4, P193&lt;=3), "Big Spenders", AND(O193&lt;=2, P193&lt;=2), "Lost / Dormant", TRUE, "Regular Customers")</f>
        <v>Lost / Dormant</v>
      </c>
      <c r="T193" s="38"/>
    </row>
    <row r="194" spans="1:20" x14ac:dyDescent="0.2">
      <c r="A194" t="s">
        <v>233</v>
      </c>
      <c r="B194" t="s">
        <v>28</v>
      </c>
      <c r="C194" s="28">
        <v>189.71</v>
      </c>
      <c r="D194">
        <v>3</v>
      </c>
      <c r="E194" s="28">
        <v>61.64</v>
      </c>
      <c r="F194">
        <v>99</v>
      </c>
      <c r="G194">
        <v>10.199999999999999</v>
      </c>
      <c r="H194">
        <v>2</v>
      </c>
      <c r="I194" t="s">
        <v>33</v>
      </c>
      <c r="J194">
        <v>0</v>
      </c>
      <c r="K194">
        <v>14.4</v>
      </c>
      <c r="L194">
        <v>0.4</v>
      </c>
      <c r="M194" t="s">
        <v>39</v>
      </c>
      <c r="N194" t="s">
        <v>43</v>
      </c>
      <c r="O194">
        <f t="shared" si="8"/>
        <v>2</v>
      </c>
      <c r="P194">
        <f t="shared" si="9"/>
        <v>2</v>
      </c>
      <c r="Q194">
        <f t="shared" si="10"/>
        <v>2</v>
      </c>
      <c r="R194" s="25" t="str">
        <f t="shared" si="11"/>
        <v>222</v>
      </c>
      <c r="S194" t="str" cm="1">
        <f t="array" ref="S194">_xlfn.IFS(AND(O194&gt;=4, P194&gt;=4, Q194&gt;=4), "Champions", AND(O194&gt;=3, P194&gt;=4), "Loyal Customers", AND(O194&gt;=4, P194&lt;=2), "New / Promising", AND(O194&lt;=2, P194&gt;=4), "At Risk Loyalists", AND(Q194&gt;=4, P194&lt;=3), "Big Spenders", AND(O194&lt;=2, P194&lt;=2), "Lost / Dormant", TRUE, "Regular Customers")</f>
        <v>Lost / Dormant</v>
      </c>
      <c r="T194" s="38"/>
    </row>
    <row r="195" spans="1:20" x14ac:dyDescent="0.2">
      <c r="A195" t="s">
        <v>234</v>
      </c>
      <c r="B195" t="s">
        <v>35</v>
      </c>
      <c r="C195" s="28">
        <v>312.43</v>
      </c>
      <c r="D195">
        <v>7</v>
      </c>
      <c r="E195" s="28">
        <v>46.42</v>
      </c>
      <c r="F195">
        <v>26</v>
      </c>
      <c r="G195">
        <v>55.5</v>
      </c>
      <c r="H195">
        <v>3</v>
      </c>
      <c r="I195" t="s">
        <v>24</v>
      </c>
      <c r="J195">
        <v>3</v>
      </c>
      <c r="K195">
        <v>52.3</v>
      </c>
      <c r="L195">
        <v>8.1999999999999993</v>
      </c>
      <c r="M195" t="s">
        <v>47</v>
      </c>
      <c r="N195" t="s">
        <v>43</v>
      </c>
      <c r="O195">
        <f t="shared" ref="O195:O258" si="12">IF(F195&lt;=_xlfn.PERCENTILE.INC($F$2:$F$301,0.2), 5,
 IF(F195&lt;=_xlfn.PERCENTILE.INC($F$2:$F$301,0.4), 4,
 IF(F195&lt;=_xlfn.PERCENTILE.INC($F$2:$F$301,0.6), 3,
 IF(F195&lt;=_xlfn.PERCENTILE.INC($F$2:$F$301,0.8), 2, 1))))</f>
        <v>4</v>
      </c>
      <c r="P195">
        <f t="shared" ref="P195:P258" si="13">IF(D195&gt;=_xlfn.PERCENTILE.INC($D$2:$D$301,0.8), 5,
 IF(D195&gt;=_xlfn.PERCENTILE.INC($D$2:$D$301,0.6), 4,
 IF(D195&gt;=_xlfn.PERCENTILE.INC($D$2:$D$301,0.4), 3,
 IF(D195&gt;=_xlfn.PERCENTILE.INC($D$2:$D$301,0.2), 2, 1))))</f>
        <v>5</v>
      </c>
      <c r="Q195">
        <f t="shared" ref="Q195:Q258" si="14">IF(C195&gt;=_xlfn.PERCENTILE.INC($C$2:$C$301,0.8), 5,
 IF(C195&gt;=_xlfn.PERCENTILE.INC($C$2:$C$301,0.6), 4,
 IF(C195&gt;=_xlfn.PERCENTILE.INC($C$2:$C$301,0.4), 3,
 IF(C195&gt;=_xlfn.PERCENTILE.INC($C$2:$C$301,0.2), 2, 1))))</f>
        <v>4</v>
      </c>
      <c r="R195" s="25" t="str">
        <f t="shared" ref="R195:R258" si="15">O195&amp;P195&amp;Q195</f>
        <v>454</v>
      </c>
      <c r="S195" t="str" cm="1">
        <f t="array" ref="S195">_xlfn.IFS(AND(O195&gt;=4, P195&gt;=4, Q195&gt;=4), "Champions", AND(O195&gt;=3, P195&gt;=4), "Loyal Customers", AND(O195&gt;=4, P195&lt;=2), "New / Promising", AND(O195&lt;=2, P195&gt;=4), "At Risk Loyalists", AND(Q195&gt;=4, P195&lt;=3), "Big Spenders", AND(O195&lt;=2, P195&lt;=2), "Lost / Dormant", TRUE, "Regular Customers")</f>
        <v>Champions</v>
      </c>
      <c r="T195" s="38"/>
    </row>
    <row r="196" spans="1:20" x14ac:dyDescent="0.2">
      <c r="A196" t="s">
        <v>235</v>
      </c>
      <c r="B196" t="s">
        <v>23</v>
      </c>
      <c r="C196" s="28">
        <v>534.96</v>
      </c>
      <c r="D196">
        <v>7</v>
      </c>
      <c r="E196" s="28">
        <v>75.5</v>
      </c>
      <c r="F196">
        <v>25</v>
      </c>
      <c r="G196">
        <v>2.6</v>
      </c>
      <c r="H196">
        <v>3</v>
      </c>
      <c r="I196" t="s">
        <v>24</v>
      </c>
      <c r="J196">
        <v>14</v>
      </c>
      <c r="K196">
        <v>52.5</v>
      </c>
      <c r="L196">
        <v>13.7</v>
      </c>
      <c r="M196" t="s">
        <v>25</v>
      </c>
      <c r="N196" t="s">
        <v>43</v>
      </c>
      <c r="O196">
        <f t="shared" si="12"/>
        <v>4</v>
      </c>
      <c r="P196">
        <f t="shared" si="13"/>
        <v>5</v>
      </c>
      <c r="Q196">
        <f t="shared" si="14"/>
        <v>5</v>
      </c>
      <c r="R196" s="25" t="str">
        <f t="shared" si="15"/>
        <v>455</v>
      </c>
      <c r="S196" t="str" cm="1">
        <f t="array" ref="S196">_xlfn.IFS(AND(O196&gt;=4, P196&gt;=4, Q196&gt;=4), "Champions", AND(O196&gt;=3, P196&gt;=4), "Loyal Customers", AND(O196&gt;=4, P196&lt;=2), "New / Promising", AND(O196&lt;=2, P196&gt;=4), "At Risk Loyalists", AND(Q196&gt;=4, P196&lt;=3), "Big Spenders", AND(O196&lt;=2, P196&lt;=2), "Lost / Dormant", TRUE, "Regular Customers")</f>
        <v>Champions</v>
      </c>
      <c r="T196" s="38"/>
    </row>
    <row r="197" spans="1:20" x14ac:dyDescent="0.2">
      <c r="A197" t="s">
        <v>236</v>
      </c>
      <c r="B197" t="s">
        <v>23</v>
      </c>
      <c r="C197" s="28">
        <v>733.8</v>
      </c>
      <c r="D197">
        <v>9</v>
      </c>
      <c r="E197" s="28">
        <v>79.569999999999993</v>
      </c>
      <c r="F197">
        <v>11</v>
      </c>
      <c r="G197">
        <v>15.7</v>
      </c>
      <c r="H197">
        <v>3</v>
      </c>
      <c r="I197" t="s">
        <v>24</v>
      </c>
      <c r="J197">
        <v>16</v>
      </c>
      <c r="K197">
        <v>48.8</v>
      </c>
      <c r="L197">
        <v>6.9</v>
      </c>
      <c r="M197" t="s">
        <v>53</v>
      </c>
      <c r="N197" t="s">
        <v>43</v>
      </c>
      <c r="O197">
        <f t="shared" si="12"/>
        <v>5</v>
      </c>
      <c r="P197">
        <f t="shared" si="13"/>
        <v>5</v>
      </c>
      <c r="Q197">
        <f t="shared" si="14"/>
        <v>5</v>
      </c>
      <c r="R197" s="25" t="str">
        <f t="shared" si="15"/>
        <v>555</v>
      </c>
      <c r="S197" t="str" cm="1">
        <f t="array" ref="S197">_xlfn.IFS(AND(O197&gt;=4, P197&gt;=4, Q197&gt;=4), "Champions", AND(O197&gt;=3, P197&gt;=4), "Loyal Customers", AND(O197&gt;=4, P197&lt;=2), "New / Promising", AND(O197&lt;=2, P197&gt;=4), "At Risk Loyalists", AND(Q197&gt;=4, P197&lt;=3), "Big Spenders", AND(O197&lt;=2, P197&lt;=2), "Lost / Dormant", TRUE, "Regular Customers")</f>
        <v>Champions</v>
      </c>
      <c r="T197" s="38"/>
    </row>
    <row r="198" spans="1:20" x14ac:dyDescent="0.2">
      <c r="A198" t="s">
        <v>237</v>
      </c>
      <c r="B198" t="s">
        <v>32</v>
      </c>
      <c r="C198" s="28">
        <v>759.26</v>
      </c>
      <c r="D198">
        <v>9</v>
      </c>
      <c r="E198" s="28">
        <v>78.22</v>
      </c>
      <c r="F198">
        <v>28</v>
      </c>
      <c r="G198">
        <v>20</v>
      </c>
      <c r="H198">
        <v>5</v>
      </c>
      <c r="I198" t="s">
        <v>24</v>
      </c>
      <c r="J198">
        <v>15</v>
      </c>
      <c r="K198">
        <v>60</v>
      </c>
      <c r="L198">
        <v>24.2</v>
      </c>
      <c r="M198" t="s">
        <v>55</v>
      </c>
      <c r="N198" t="s">
        <v>30</v>
      </c>
      <c r="O198">
        <f t="shared" si="12"/>
        <v>4</v>
      </c>
      <c r="P198">
        <f t="shared" si="13"/>
        <v>5</v>
      </c>
      <c r="Q198">
        <f t="shared" si="14"/>
        <v>5</v>
      </c>
      <c r="R198" s="25" t="str">
        <f t="shared" si="15"/>
        <v>455</v>
      </c>
      <c r="S198" t="str" cm="1">
        <f t="array" ref="S198">_xlfn.IFS(AND(O198&gt;=4, P198&gt;=4, Q198&gt;=4), "Champions", AND(O198&gt;=3, P198&gt;=4), "Loyal Customers", AND(O198&gt;=4, P198&lt;=2), "New / Promising", AND(O198&lt;=2, P198&gt;=4), "At Risk Loyalists", AND(Q198&gt;=4, P198&lt;=3), "Big Spenders", AND(O198&lt;=2, P198&lt;=2), "Lost / Dormant", TRUE, "Regular Customers")</f>
        <v>Champions</v>
      </c>
      <c r="T198" s="38"/>
    </row>
    <row r="199" spans="1:20" x14ac:dyDescent="0.2">
      <c r="A199" t="s">
        <v>238</v>
      </c>
      <c r="B199" t="s">
        <v>32</v>
      </c>
      <c r="C199" s="28">
        <v>756.68</v>
      </c>
      <c r="D199">
        <v>11</v>
      </c>
      <c r="E199" s="28">
        <v>68.489999999999995</v>
      </c>
      <c r="F199">
        <v>14</v>
      </c>
      <c r="G199">
        <v>21.4</v>
      </c>
      <c r="H199">
        <v>5</v>
      </c>
      <c r="I199" t="s">
        <v>24</v>
      </c>
      <c r="J199">
        <v>14</v>
      </c>
      <c r="K199">
        <v>57.9</v>
      </c>
      <c r="L199">
        <v>15</v>
      </c>
      <c r="M199" t="s">
        <v>39</v>
      </c>
      <c r="N199" t="s">
        <v>26</v>
      </c>
      <c r="O199">
        <f t="shared" si="12"/>
        <v>5</v>
      </c>
      <c r="P199">
        <f t="shared" si="13"/>
        <v>5</v>
      </c>
      <c r="Q199">
        <f t="shared" si="14"/>
        <v>5</v>
      </c>
      <c r="R199" s="25" t="str">
        <f t="shared" si="15"/>
        <v>555</v>
      </c>
      <c r="S199" t="str" cm="1">
        <f t="array" ref="S199">_xlfn.IFS(AND(O199&gt;=4, P199&gt;=4, Q199&gt;=4), "Champions", AND(O199&gt;=3, P199&gt;=4), "Loyal Customers", AND(O199&gt;=4, P199&lt;=2), "New / Promising", AND(O199&lt;=2, P199&gt;=4), "At Risk Loyalists", AND(Q199&gt;=4, P199&lt;=3), "Big Spenders", AND(O199&lt;=2, P199&lt;=2), "Lost / Dormant", TRUE, "Regular Customers")</f>
        <v>Champions</v>
      </c>
      <c r="T199" s="38"/>
    </row>
    <row r="200" spans="1:20" x14ac:dyDescent="0.2">
      <c r="A200" t="s">
        <v>239</v>
      </c>
      <c r="B200" t="s">
        <v>32</v>
      </c>
      <c r="C200" s="28">
        <v>374.03</v>
      </c>
      <c r="D200">
        <v>6</v>
      </c>
      <c r="E200" s="28">
        <v>63.63</v>
      </c>
      <c r="F200">
        <v>24</v>
      </c>
      <c r="G200">
        <v>34.9</v>
      </c>
      <c r="H200">
        <v>5</v>
      </c>
      <c r="I200" t="s">
        <v>33</v>
      </c>
      <c r="J200">
        <v>0</v>
      </c>
      <c r="K200">
        <v>59.9</v>
      </c>
      <c r="L200">
        <v>18.899999999999999</v>
      </c>
      <c r="M200" t="s">
        <v>47</v>
      </c>
      <c r="N200" t="s">
        <v>40</v>
      </c>
      <c r="O200">
        <f t="shared" si="12"/>
        <v>4</v>
      </c>
      <c r="P200">
        <f t="shared" si="13"/>
        <v>4</v>
      </c>
      <c r="Q200">
        <f t="shared" si="14"/>
        <v>4</v>
      </c>
      <c r="R200" s="25" t="str">
        <f t="shared" si="15"/>
        <v>444</v>
      </c>
      <c r="S200" t="str" cm="1">
        <f t="array" ref="S200">_xlfn.IFS(AND(O200&gt;=4, P200&gt;=4, Q200&gt;=4), "Champions", AND(O200&gt;=3, P200&gt;=4), "Loyal Customers", AND(O200&gt;=4, P200&lt;=2), "New / Promising", AND(O200&lt;=2, P200&gt;=4), "At Risk Loyalists", AND(Q200&gt;=4, P200&lt;=3), "Big Spenders", AND(O200&lt;=2, P200&lt;=2), "Lost / Dormant", TRUE, "Regular Customers")</f>
        <v>Champions</v>
      </c>
      <c r="T200" s="38"/>
    </row>
    <row r="201" spans="1:20" x14ac:dyDescent="0.2">
      <c r="A201" t="s">
        <v>240</v>
      </c>
      <c r="B201" t="s">
        <v>32</v>
      </c>
      <c r="C201" s="28">
        <v>390.68</v>
      </c>
      <c r="D201">
        <v>9</v>
      </c>
      <c r="E201" s="28">
        <v>42.03</v>
      </c>
      <c r="F201">
        <v>66</v>
      </c>
      <c r="G201">
        <v>60.1</v>
      </c>
      <c r="H201">
        <v>2</v>
      </c>
      <c r="I201" t="s">
        <v>33</v>
      </c>
      <c r="J201">
        <v>0</v>
      </c>
      <c r="K201">
        <v>33.1</v>
      </c>
      <c r="L201">
        <v>5.2</v>
      </c>
      <c r="M201" t="s">
        <v>55</v>
      </c>
      <c r="N201" t="s">
        <v>40</v>
      </c>
      <c r="O201">
        <f t="shared" si="12"/>
        <v>2</v>
      </c>
      <c r="P201">
        <f t="shared" si="13"/>
        <v>5</v>
      </c>
      <c r="Q201">
        <f t="shared" si="14"/>
        <v>4</v>
      </c>
      <c r="R201" s="25" t="str">
        <f t="shared" si="15"/>
        <v>254</v>
      </c>
      <c r="S201" t="str" cm="1">
        <f t="array" ref="S201">_xlfn.IFS(AND(O201&gt;=4, P201&gt;=4, Q201&gt;=4), "Champions", AND(O201&gt;=3, P201&gt;=4), "Loyal Customers", AND(O201&gt;=4, P201&lt;=2), "New / Promising", AND(O201&lt;=2, P201&gt;=4), "At Risk Loyalists", AND(Q201&gt;=4, P201&lt;=3), "Big Spenders", AND(O201&lt;=2, P201&lt;=2), "Lost / Dormant", TRUE, "Regular Customers")</f>
        <v>At Risk Loyalists</v>
      </c>
      <c r="T201" s="38"/>
    </row>
    <row r="202" spans="1:20" x14ac:dyDescent="0.2">
      <c r="A202" t="s">
        <v>241</v>
      </c>
      <c r="B202" t="s">
        <v>35</v>
      </c>
      <c r="C202" s="28">
        <v>770.57</v>
      </c>
      <c r="D202">
        <v>8</v>
      </c>
      <c r="E202" s="28">
        <v>91.87</v>
      </c>
      <c r="F202">
        <v>19</v>
      </c>
      <c r="G202">
        <v>8.8000000000000007</v>
      </c>
      <c r="H202">
        <v>4</v>
      </c>
      <c r="I202" t="s">
        <v>24</v>
      </c>
      <c r="J202">
        <v>14</v>
      </c>
      <c r="K202">
        <v>72</v>
      </c>
      <c r="L202">
        <v>20.2</v>
      </c>
      <c r="M202" t="s">
        <v>47</v>
      </c>
      <c r="N202" t="s">
        <v>30</v>
      </c>
      <c r="O202">
        <f t="shared" si="12"/>
        <v>5</v>
      </c>
      <c r="P202">
        <f t="shared" si="13"/>
        <v>5</v>
      </c>
      <c r="Q202">
        <f t="shared" si="14"/>
        <v>5</v>
      </c>
      <c r="R202" s="25" t="str">
        <f t="shared" si="15"/>
        <v>555</v>
      </c>
      <c r="S202" t="str" cm="1">
        <f t="array" ref="S202">_xlfn.IFS(AND(O202&gt;=4, P202&gt;=4, Q202&gt;=4), "Champions", AND(O202&gt;=3, P202&gt;=4), "Loyal Customers", AND(O202&gt;=4, P202&lt;=2), "New / Promising", AND(O202&lt;=2, P202&gt;=4), "At Risk Loyalists", AND(Q202&gt;=4, P202&lt;=3), "Big Spenders", AND(O202&lt;=2, P202&lt;=2), "Lost / Dormant", TRUE, "Regular Customers")</f>
        <v>Champions</v>
      </c>
      <c r="T202" s="38"/>
    </row>
    <row r="203" spans="1:20" x14ac:dyDescent="0.2">
      <c r="A203" t="s">
        <v>242</v>
      </c>
      <c r="B203" t="s">
        <v>37</v>
      </c>
      <c r="C203" s="28">
        <v>296.3</v>
      </c>
      <c r="D203">
        <v>5</v>
      </c>
      <c r="E203" s="28">
        <v>58.39</v>
      </c>
      <c r="F203">
        <v>2</v>
      </c>
      <c r="G203">
        <v>31.6</v>
      </c>
      <c r="H203">
        <v>4</v>
      </c>
      <c r="I203" t="s">
        <v>24</v>
      </c>
      <c r="J203">
        <v>3</v>
      </c>
      <c r="K203">
        <v>53.4</v>
      </c>
      <c r="L203">
        <v>13.8</v>
      </c>
      <c r="M203" t="s">
        <v>25</v>
      </c>
      <c r="N203" t="s">
        <v>30</v>
      </c>
      <c r="O203">
        <f t="shared" si="12"/>
        <v>5</v>
      </c>
      <c r="P203">
        <f t="shared" si="13"/>
        <v>3</v>
      </c>
      <c r="Q203">
        <f t="shared" si="14"/>
        <v>3</v>
      </c>
      <c r="R203" s="25" t="str">
        <f t="shared" si="15"/>
        <v>533</v>
      </c>
      <c r="S203" t="str" cm="1">
        <f t="array" ref="S203">_xlfn.IFS(AND(O203&gt;=4, P203&gt;=4, Q203&gt;=4), "Champions", AND(O203&gt;=3, P203&gt;=4), "Loyal Customers", AND(O203&gt;=4, P203&lt;=2), "New / Promising", AND(O203&lt;=2, P203&gt;=4), "At Risk Loyalists", AND(Q203&gt;=4, P203&lt;=3), "Big Spenders", AND(O203&lt;=2, P203&lt;=2), "Lost / Dormant", TRUE, "Regular Customers")</f>
        <v>Regular Customers</v>
      </c>
      <c r="T203" s="38"/>
    </row>
    <row r="204" spans="1:20" x14ac:dyDescent="0.2">
      <c r="A204" t="s">
        <v>243</v>
      </c>
      <c r="B204" t="s">
        <v>37</v>
      </c>
      <c r="C204" s="28">
        <v>307.93</v>
      </c>
      <c r="D204">
        <v>6</v>
      </c>
      <c r="E204" s="28">
        <v>53.81</v>
      </c>
      <c r="F204">
        <v>33</v>
      </c>
      <c r="G204">
        <v>24.5</v>
      </c>
      <c r="H204">
        <v>4</v>
      </c>
      <c r="I204" t="s">
        <v>24</v>
      </c>
      <c r="J204">
        <v>10</v>
      </c>
      <c r="K204">
        <v>50.6</v>
      </c>
      <c r="L204">
        <v>14.7</v>
      </c>
      <c r="M204" t="s">
        <v>39</v>
      </c>
      <c r="N204" t="s">
        <v>43</v>
      </c>
      <c r="O204">
        <f t="shared" si="12"/>
        <v>3</v>
      </c>
      <c r="P204">
        <f t="shared" si="13"/>
        <v>4</v>
      </c>
      <c r="Q204">
        <f t="shared" si="14"/>
        <v>4</v>
      </c>
      <c r="R204" s="25" t="str">
        <f t="shared" si="15"/>
        <v>344</v>
      </c>
      <c r="S204" t="str" cm="1">
        <f t="array" ref="S204">_xlfn.IFS(AND(O204&gt;=4, P204&gt;=4, Q204&gt;=4), "Champions", AND(O204&gt;=3, P204&gt;=4), "Loyal Customers", AND(O204&gt;=4, P204&lt;=2), "New / Promising", AND(O204&lt;=2, P204&gt;=4), "At Risk Loyalists", AND(Q204&gt;=4, P204&lt;=3), "Big Spenders", AND(O204&lt;=2, P204&lt;=2), "Lost / Dormant", TRUE, "Regular Customers")</f>
        <v>Loyal Customers</v>
      </c>
      <c r="T204" s="38"/>
    </row>
    <row r="205" spans="1:20" x14ac:dyDescent="0.2">
      <c r="A205" t="s">
        <v>244</v>
      </c>
      <c r="B205" t="s">
        <v>32</v>
      </c>
      <c r="C205" s="28">
        <v>379.86</v>
      </c>
      <c r="D205">
        <v>6</v>
      </c>
      <c r="E205" s="28">
        <v>63.67</v>
      </c>
      <c r="F205">
        <v>51</v>
      </c>
      <c r="G205">
        <v>18</v>
      </c>
      <c r="H205">
        <v>4</v>
      </c>
      <c r="I205" t="s">
        <v>33</v>
      </c>
      <c r="J205">
        <v>0</v>
      </c>
      <c r="K205">
        <v>50.9</v>
      </c>
      <c r="L205">
        <v>13.4</v>
      </c>
      <c r="M205" t="s">
        <v>47</v>
      </c>
      <c r="N205" t="s">
        <v>45</v>
      </c>
      <c r="O205">
        <f t="shared" si="12"/>
        <v>2</v>
      </c>
      <c r="P205">
        <f t="shared" si="13"/>
        <v>4</v>
      </c>
      <c r="Q205">
        <f t="shared" si="14"/>
        <v>4</v>
      </c>
      <c r="R205" s="25" t="str">
        <f t="shared" si="15"/>
        <v>244</v>
      </c>
      <c r="S205" t="str" cm="1">
        <f t="array" ref="S205">_xlfn.IFS(AND(O205&gt;=4, P205&gt;=4, Q205&gt;=4), "Champions", AND(O205&gt;=3, P205&gt;=4), "Loyal Customers", AND(O205&gt;=4, P205&lt;=2), "New / Promising", AND(O205&lt;=2, P205&gt;=4), "At Risk Loyalists", AND(Q205&gt;=4, P205&lt;=3), "Big Spenders", AND(O205&lt;=2, P205&lt;=2), "Lost / Dormant", TRUE, "Regular Customers")</f>
        <v>At Risk Loyalists</v>
      </c>
      <c r="T205" s="38"/>
    </row>
    <row r="206" spans="1:20" x14ac:dyDescent="0.2">
      <c r="A206" t="s">
        <v>245</v>
      </c>
      <c r="B206" t="s">
        <v>35</v>
      </c>
      <c r="C206" s="28">
        <v>176.75</v>
      </c>
      <c r="D206">
        <v>3</v>
      </c>
      <c r="E206" s="28">
        <v>56.23</v>
      </c>
      <c r="F206">
        <v>21</v>
      </c>
      <c r="G206">
        <v>23.9</v>
      </c>
      <c r="H206">
        <v>4</v>
      </c>
      <c r="I206" t="s">
        <v>24</v>
      </c>
      <c r="J206">
        <v>3</v>
      </c>
      <c r="K206">
        <v>31</v>
      </c>
      <c r="L206">
        <v>10.7</v>
      </c>
      <c r="M206" t="s">
        <v>39</v>
      </c>
      <c r="N206" t="s">
        <v>30</v>
      </c>
      <c r="O206">
        <f t="shared" si="12"/>
        <v>5</v>
      </c>
      <c r="P206">
        <f t="shared" si="13"/>
        <v>2</v>
      </c>
      <c r="Q206">
        <f t="shared" si="14"/>
        <v>2</v>
      </c>
      <c r="R206" s="25" t="str">
        <f t="shared" si="15"/>
        <v>522</v>
      </c>
      <c r="S206" t="str" cm="1">
        <f t="array" ref="S206">_xlfn.IFS(AND(O206&gt;=4, P206&gt;=4, Q206&gt;=4), "Champions", AND(O206&gt;=3, P206&gt;=4), "Loyal Customers", AND(O206&gt;=4, P206&lt;=2), "New / Promising", AND(O206&lt;=2, P206&gt;=4), "At Risk Loyalists", AND(Q206&gt;=4, P206&lt;=3), "Big Spenders", AND(O206&lt;=2, P206&lt;=2), "Lost / Dormant", TRUE, "Regular Customers")</f>
        <v>New / Promising</v>
      </c>
      <c r="T206" s="38"/>
    </row>
    <row r="207" spans="1:20" x14ac:dyDescent="0.2">
      <c r="A207" t="s">
        <v>246</v>
      </c>
      <c r="B207" t="s">
        <v>37</v>
      </c>
      <c r="C207" s="28">
        <v>300.14999999999998</v>
      </c>
      <c r="D207">
        <v>5</v>
      </c>
      <c r="E207" s="28">
        <v>61.58</v>
      </c>
      <c r="F207">
        <v>19</v>
      </c>
      <c r="G207">
        <v>9.1</v>
      </c>
      <c r="H207">
        <v>3</v>
      </c>
      <c r="I207" t="s">
        <v>24</v>
      </c>
      <c r="J207">
        <v>6</v>
      </c>
      <c r="K207">
        <v>51.4</v>
      </c>
      <c r="L207">
        <v>17.7</v>
      </c>
      <c r="M207" t="s">
        <v>47</v>
      </c>
      <c r="N207" t="s">
        <v>43</v>
      </c>
      <c r="O207">
        <f t="shared" si="12"/>
        <v>5</v>
      </c>
      <c r="P207">
        <f t="shared" si="13"/>
        <v>3</v>
      </c>
      <c r="Q207">
        <f t="shared" si="14"/>
        <v>3</v>
      </c>
      <c r="R207" s="25" t="str">
        <f t="shared" si="15"/>
        <v>533</v>
      </c>
      <c r="S207" t="str" cm="1">
        <f t="array" ref="S207">_xlfn.IFS(AND(O207&gt;=4, P207&gt;=4, Q207&gt;=4), "Champions", AND(O207&gt;=3, P207&gt;=4), "Loyal Customers", AND(O207&gt;=4, P207&lt;=2), "New / Promising", AND(O207&lt;=2, P207&gt;=4), "At Risk Loyalists", AND(Q207&gt;=4, P207&lt;=3), "Big Spenders", AND(O207&lt;=2, P207&lt;=2), "Lost / Dormant", TRUE, "Regular Customers")</f>
        <v>Regular Customers</v>
      </c>
      <c r="T207" s="38"/>
    </row>
    <row r="208" spans="1:20" x14ac:dyDescent="0.2">
      <c r="A208" t="s">
        <v>247</v>
      </c>
      <c r="B208" t="s">
        <v>37</v>
      </c>
      <c r="C208" s="28">
        <v>179.56</v>
      </c>
      <c r="D208">
        <v>5</v>
      </c>
      <c r="E208" s="28">
        <v>35.21</v>
      </c>
      <c r="F208">
        <v>4</v>
      </c>
      <c r="G208">
        <v>54.9</v>
      </c>
      <c r="H208">
        <v>2</v>
      </c>
      <c r="I208" t="s">
        <v>33</v>
      </c>
      <c r="J208">
        <v>0</v>
      </c>
      <c r="K208">
        <v>41</v>
      </c>
      <c r="L208">
        <v>5.3</v>
      </c>
      <c r="M208" t="s">
        <v>55</v>
      </c>
      <c r="N208" t="s">
        <v>40</v>
      </c>
      <c r="O208">
        <f t="shared" si="12"/>
        <v>5</v>
      </c>
      <c r="P208">
        <f t="shared" si="13"/>
        <v>3</v>
      </c>
      <c r="Q208">
        <f t="shared" si="14"/>
        <v>2</v>
      </c>
      <c r="R208" s="25" t="str">
        <f t="shared" si="15"/>
        <v>532</v>
      </c>
      <c r="S208" t="str" cm="1">
        <f t="array" ref="S208">_xlfn.IFS(AND(O208&gt;=4, P208&gt;=4, Q208&gt;=4), "Champions", AND(O208&gt;=3, P208&gt;=4), "Loyal Customers", AND(O208&gt;=4, P208&lt;=2), "New / Promising", AND(O208&lt;=2, P208&gt;=4), "At Risk Loyalists", AND(Q208&gt;=4, P208&lt;=3), "Big Spenders", AND(O208&lt;=2, P208&lt;=2), "Lost / Dormant", TRUE, "Regular Customers")</f>
        <v>Regular Customers</v>
      </c>
      <c r="T208" s="38"/>
    </row>
    <row r="209" spans="1:20" x14ac:dyDescent="0.2">
      <c r="A209" t="s">
        <v>248</v>
      </c>
      <c r="B209" t="s">
        <v>35</v>
      </c>
      <c r="C209" s="28">
        <v>167.38</v>
      </c>
      <c r="D209">
        <v>3</v>
      </c>
      <c r="E209" s="28">
        <v>53.85</v>
      </c>
      <c r="F209">
        <v>136</v>
      </c>
      <c r="G209">
        <v>4.2</v>
      </c>
      <c r="H209">
        <v>1</v>
      </c>
      <c r="I209" t="s">
        <v>33</v>
      </c>
      <c r="J209">
        <v>0</v>
      </c>
      <c r="K209">
        <v>12.5</v>
      </c>
      <c r="L209">
        <v>0</v>
      </c>
      <c r="M209" t="s">
        <v>55</v>
      </c>
      <c r="N209" t="s">
        <v>45</v>
      </c>
      <c r="O209">
        <f t="shared" si="12"/>
        <v>1</v>
      </c>
      <c r="P209">
        <f t="shared" si="13"/>
        <v>2</v>
      </c>
      <c r="Q209">
        <f t="shared" si="14"/>
        <v>2</v>
      </c>
      <c r="R209" s="25" t="str">
        <f t="shared" si="15"/>
        <v>122</v>
      </c>
      <c r="S209" t="str" cm="1">
        <f t="array" ref="S209">_xlfn.IFS(AND(O209&gt;=4, P209&gt;=4, Q209&gt;=4), "Champions", AND(O209&gt;=3, P209&gt;=4), "Loyal Customers", AND(O209&gt;=4, P209&lt;=2), "New / Promising", AND(O209&lt;=2, P209&gt;=4), "At Risk Loyalists", AND(Q209&gt;=4, P209&lt;=3), "Big Spenders", AND(O209&lt;=2, P209&lt;=2), "Lost / Dormant", TRUE, "Regular Customers")</f>
        <v>Lost / Dormant</v>
      </c>
      <c r="T209" s="38"/>
    </row>
    <row r="210" spans="1:20" x14ac:dyDescent="0.2">
      <c r="A210" t="s">
        <v>249</v>
      </c>
      <c r="B210" t="s">
        <v>37</v>
      </c>
      <c r="C210" s="28">
        <v>258.64</v>
      </c>
      <c r="D210">
        <v>4</v>
      </c>
      <c r="E210" s="28">
        <v>64.77</v>
      </c>
      <c r="F210">
        <v>156</v>
      </c>
      <c r="G210">
        <v>26.8</v>
      </c>
      <c r="H210">
        <v>2</v>
      </c>
      <c r="I210" t="s">
        <v>33</v>
      </c>
      <c r="J210">
        <v>0</v>
      </c>
      <c r="K210">
        <v>6.6</v>
      </c>
      <c r="L210">
        <v>1.4</v>
      </c>
      <c r="M210" t="s">
        <v>39</v>
      </c>
      <c r="N210" t="s">
        <v>40</v>
      </c>
      <c r="O210">
        <f t="shared" si="12"/>
        <v>1</v>
      </c>
      <c r="P210">
        <f t="shared" si="13"/>
        <v>3</v>
      </c>
      <c r="Q210">
        <f t="shared" si="14"/>
        <v>3</v>
      </c>
      <c r="R210" s="25" t="str">
        <f t="shared" si="15"/>
        <v>133</v>
      </c>
      <c r="S210" t="str" cm="1">
        <f t="array" ref="S210">_xlfn.IFS(AND(O210&gt;=4, P210&gt;=4, Q210&gt;=4), "Champions", AND(O210&gt;=3, P210&gt;=4), "Loyal Customers", AND(O210&gt;=4, P210&lt;=2), "New / Promising", AND(O210&lt;=2, P210&gt;=4), "At Risk Loyalists", AND(Q210&gt;=4, P210&lt;=3), "Big Spenders", AND(O210&lt;=2, P210&lt;=2), "Lost / Dormant", TRUE, "Regular Customers")</f>
        <v>Regular Customers</v>
      </c>
      <c r="T210" s="38"/>
    </row>
    <row r="211" spans="1:20" x14ac:dyDescent="0.2">
      <c r="A211" t="s">
        <v>250</v>
      </c>
      <c r="B211" t="s">
        <v>37</v>
      </c>
      <c r="C211" s="28">
        <v>521.34</v>
      </c>
      <c r="D211">
        <v>7</v>
      </c>
      <c r="E211" s="28">
        <v>71.48</v>
      </c>
      <c r="F211">
        <v>38</v>
      </c>
      <c r="G211">
        <v>22.2</v>
      </c>
      <c r="H211">
        <v>3</v>
      </c>
      <c r="I211" t="s">
        <v>24</v>
      </c>
      <c r="J211">
        <v>10</v>
      </c>
      <c r="K211">
        <v>68.7</v>
      </c>
      <c r="L211">
        <v>13.4</v>
      </c>
      <c r="M211" t="s">
        <v>25</v>
      </c>
      <c r="N211" t="s">
        <v>30</v>
      </c>
      <c r="O211">
        <f t="shared" si="12"/>
        <v>3</v>
      </c>
      <c r="P211">
        <f t="shared" si="13"/>
        <v>5</v>
      </c>
      <c r="Q211">
        <f t="shared" si="14"/>
        <v>5</v>
      </c>
      <c r="R211" s="25" t="str">
        <f t="shared" si="15"/>
        <v>355</v>
      </c>
      <c r="S211" t="str" cm="1">
        <f t="array" ref="S211">_xlfn.IFS(AND(O211&gt;=4, P211&gt;=4, Q211&gt;=4), "Champions", AND(O211&gt;=3, P211&gt;=4), "Loyal Customers", AND(O211&gt;=4, P211&lt;=2), "New / Promising", AND(O211&lt;=2, P211&gt;=4), "At Risk Loyalists", AND(Q211&gt;=4, P211&lt;=3), "Big Spenders", AND(O211&lt;=2, P211&lt;=2), "Lost / Dormant", TRUE, "Regular Customers")</f>
        <v>Loyal Customers</v>
      </c>
      <c r="T211" s="38"/>
    </row>
    <row r="212" spans="1:20" x14ac:dyDescent="0.2">
      <c r="A212" t="s">
        <v>251</v>
      </c>
      <c r="B212" t="s">
        <v>58</v>
      </c>
      <c r="C212" s="28">
        <v>112.56</v>
      </c>
      <c r="D212">
        <v>2</v>
      </c>
      <c r="E212" s="28">
        <v>55.81</v>
      </c>
      <c r="F212">
        <v>69</v>
      </c>
      <c r="G212">
        <v>23</v>
      </c>
      <c r="H212">
        <v>6</v>
      </c>
      <c r="I212" t="s">
        <v>33</v>
      </c>
      <c r="J212">
        <v>0</v>
      </c>
      <c r="K212">
        <v>35.700000000000003</v>
      </c>
      <c r="L212">
        <v>16.3</v>
      </c>
      <c r="M212" t="s">
        <v>55</v>
      </c>
      <c r="N212" t="s">
        <v>30</v>
      </c>
      <c r="O212">
        <f t="shared" si="12"/>
        <v>2</v>
      </c>
      <c r="P212">
        <f t="shared" si="13"/>
        <v>1</v>
      </c>
      <c r="Q212">
        <f t="shared" si="14"/>
        <v>1</v>
      </c>
      <c r="R212" s="25" t="str">
        <f t="shared" si="15"/>
        <v>211</v>
      </c>
      <c r="S212" t="str" cm="1">
        <f t="array" ref="S212">_xlfn.IFS(AND(O212&gt;=4, P212&gt;=4, Q212&gt;=4), "Champions", AND(O212&gt;=3, P212&gt;=4), "Loyal Customers", AND(O212&gt;=4, P212&lt;=2), "New / Promising", AND(O212&lt;=2, P212&gt;=4), "At Risk Loyalists", AND(Q212&gt;=4, P212&lt;=3), "Big Spenders", AND(O212&lt;=2, P212&lt;=2), "Lost / Dormant", TRUE, "Regular Customers")</f>
        <v>Lost / Dormant</v>
      </c>
      <c r="T212" s="38"/>
    </row>
    <row r="213" spans="1:20" x14ac:dyDescent="0.2">
      <c r="A213" t="s">
        <v>252</v>
      </c>
      <c r="B213" t="s">
        <v>35</v>
      </c>
      <c r="C213" s="28">
        <v>582.54</v>
      </c>
      <c r="D213">
        <v>10</v>
      </c>
      <c r="E213" s="28">
        <v>60.32</v>
      </c>
      <c r="F213">
        <v>10</v>
      </c>
      <c r="G213">
        <v>13.3</v>
      </c>
      <c r="H213">
        <v>3</v>
      </c>
      <c r="I213" t="s">
        <v>24</v>
      </c>
      <c r="J213">
        <v>8</v>
      </c>
      <c r="K213">
        <v>61.3</v>
      </c>
      <c r="L213">
        <v>13.8</v>
      </c>
      <c r="M213" t="s">
        <v>53</v>
      </c>
      <c r="N213" t="s">
        <v>43</v>
      </c>
      <c r="O213">
        <f t="shared" si="12"/>
        <v>5</v>
      </c>
      <c r="P213">
        <f t="shared" si="13"/>
        <v>5</v>
      </c>
      <c r="Q213">
        <f t="shared" si="14"/>
        <v>5</v>
      </c>
      <c r="R213" s="25" t="str">
        <f t="shared" si="15"/>
        <v>555</v>
      </c>
      <c r="S213" t="str" cm="1">
        <f t="array" ref="S213">_xlfn.IFS(AND(O213&gt;=4, P213&gt;=4, Q213&gt;=4), "Champions", AND(O213&gt;=3, P213&gt;=4), "Loyal Customers", AND(O213&gt;=4, P213&lt;=2), "New / Promising", AND(O213&lt;=2, P213&gt;=4), "At Risk Loyalists", AND(Q213&gt;=4, P213&lt;=3), "Big Spenders", AND(O213&lt;=2, P213&lt;=2), "Lost / Dormant", TRUE, "Regular Customers")</f>
        <v>Champions</v>
      </c>
      <c r="T213" s="38"/>
    </row>
    <row r="214" spans="1:20" x14ac:dyDescent="0.2">
      <c r="A214" t="s">
        <v>253</v>
      </c>
      <c r="B214" t="s">
        <v>35</v>
      </c>
      <c r="C214" s="28">
        <v>351.74</v>
      </c>
      <c r="D214">
        <v>5</v>
      </c>
      <c r="E214" s="28">
        <v>74.209999999999994</v>
      </c>
      <c r="F214">
        <v>17</v>
      </c>
      <c r="G214">
        <v>19.3</v>
      </c>
      <c r="H214">
        <v>3</v>
      </c>
      <c r="I214" t="s">
        <v>24</v>
      </c>
      <c r="J214">
        <v>11</v>
      </c>
      <c r="K214">
        <v>60.8</v>
      </c>
      <c r="L214">
        <v>18.3</v>
      </c>
      <c r="M214" t="s">
        <v>25</v>
      </c>
      <c r="N214" t="s">
        <v>40</v>
      </c>
      <c r="O214">
        <f t="shared" si="12"/>
        <v>5</v>
      </c>
      <c r="P214">
        <f t="shared" si="13"/>
        <v>3</v>
      </c>
      <c r="Q214">
        <f t="shared" si="14"/>
        <v>4</v>
      </c>
      <c r="R214" s="25" t="str">
        <f t="shared" si="15"/>
        <v>534</v>
      </c>
      <c r="S214" t="str" cm="1">
        <f t="array" ref="S214">_xlfn.IFS(AND(O214&gt;=4, P214&gt;=4, Q214&gt;=4), "Champions", AND(O214&gt;=3, P214&gt;=4), "Loyal Customers", AND(O214&gt;=4, P214&lt;=2), "New / Promising", AND(O214&lt;=2, P214&gt;=4), "At Risk Loyalists", AND(Q214&gt;=4, P214&lt;=3), "Big Spenders", AND(O214&lt;=2, P214&lt;=2), "Lost / Dormant", TRUE, "Regular Customers")</f>
        <v>Big Spenders</v>
      </c>
      <c r="T214" s="38"/>
    </row>
    <row r="215" spans="1:20" x14ac:dyDescent="0.2">
      <c r="A215" t="s">
        <v>254</v>
      </c>
      <c r="B215" t="s">
        <v>37</v>
      </c>
      <c r="C215" s="28">
        <v>145.25</v>
      </c>
      <c r="D215">
        <v>3</v>
      </c>
      <c r="E215" s="28">
        <v>47.45</v>
      </c>
      <c r="F215">
        <v>33</v>
      </c>
      <c r="G215">
        <v>52.9</v>
      </c>
      <c r="H215">
        <v>2</v>
      </c>
      <c r="I215" t="s">
        <v>24</v>
      </c>
      <c r="J215">
        <v>3</v>
      </c>
      <c r="K215">
        <v>41</v>
      </c>
      <c r="L215">
        <v>11.5</v>
      </c>
      <c r="M215" t="s">
        <v>55</v>
      </c>
      <c r="N215" t="s">
        <v>45</v>
      </c>
      <c r="O215">
        <f t="shared" si="12"/>
        <v>3</v>
      </c>
      <c r="P215">
        <f t="shared" si="13"/>
        <v>2</v>
      </c>
      <c r="Q215">
        <f t="shared" si="14"/>
        <v>2</v>
      </c>
      <c r="R215" s="25" t="str">
        <f t="shared" si="15"/>
        <v>322</v>
      </c>
      <c r="S215" t="str" cm="1">
        <f t="array" ref="S215">_xlfn.IFS(AND(O215&gt;=4, P215&gt;=4, Q215&gt;=4), "Champions", AND(O215&gt;=3, P215&gt;=4), "Loyal Customers", AND(O215&gt;=4, P215&lt;=2), "New / Promising", AND(O215&lt;=2, P215&gt;=4), "At Risk Loyalists", AND(Q215&gt;=4, P215&lt;=3), "Big Spenders", AND(O215&lt;=2, P215&lt;=2), "Lost / Dormant", TRUE, "Regular Customers")</f>
        <v>Regular Customers</v>
      </c>
      <c r="T215" s="38"/>
    </row>
    <row r="216" spans="1:20" x14ac:dyDescent="0.2">
      <c r="A216" t="s">
        <v>255</v>
      </c>
      <c r="B216" t="s">
        <v>35</v>
      </c>
      <c r="C216" s="28">
        <v>128.91</v>
      </c>
      <c r="D216">
        <v>2</v>
      </c>
      <c r="E216" s="28">
        <v>60.5</v>
      </c>
      <c r="F216">
        <v>113</v>
      </c>
      <c r="G216">
        <v>1.1000000000000001</v>
      </c>
      <c r="H216">
        <v>1</v>
      </c>
      <c r="I216" t="s">
        <v>33</v>
      </c>
      <c r="J216">
        <v>0</v>
      </c>
      <c r="K216">
        <v>14.7</v>
      </c>
      <c r="L216">
        <v>3</v>
      </c>
      <c r="M216" t="s">
        <v>53</v>
      </c>
      <c r="N216" t="s">
        <v>26</v>
      </c>
      <c r="O216">
        <f t="shared" si="12"/>
        <v>1</v>
      </c>
      <c r="P216">
        <f t="shared" si="13"/>
        <v>1</v>
      </c>
      <c r="Q216">
        <f t="shared" si="14"/>
        <v>2</v>
      </c>
      <c r="R216" s="25" t="str">
        <f t="shared" si="15"/>
        <v>112</v>
      </c>
      <c r="S216" t="str" cm="1">
        <f t="array" ref="S216">_xlfn.IFS(AND(O216&gt;=4, P216&gt;=4, Q216&gt;=4), "Champions", AND(O216&gt;=3, P216&gt;=4), "Loyal Customers", AND(O216&gt;=4, P216&lt;=2), "New / Promising", AND(O216&lt;=2, P216&gt;=4), "At Risk Loyalists", AND(Q216&gt;=4, P216&lt;=3), "Big Spenders", AND(O216&lt;=2, P216&lt;=2), "Lost / Dormant", TRUE, "Regular Customers")</f>
        <v>Lost / Dormant</v>
      </c>
      <c r="T216" s="38"/>
    </row>
    <row r="217" spans="1:20" x14ac:dyDescent="0.2">
      <c r="A217" t="s">
        <v>256</v>
      </c>
      <c r="B217" t="s">
        <v>37</v>
      </c>
      <c r="C217" s="28">
        <v>60.78</v>
      </c>
      <c r="D217">
        <v>2</v>
      </c>
      <c r="E217" s="28">
        <v>28.14</v>
      </c>
      <c r="F217">
        <v>112</v>
      </c>
      <c r="G217">
        <v>0.8</v>
      </c>
      <c r="H217">
        <v>2</v>
      </c>
      <c r="I217" t="s">
        <v>33</v>
      </c>
      <c r="J217">
        <v>0</v>
      </c>
      <c r="K217">
        <v>37.5</v>
      </c>
      <c r="L217">
        <v>0.8</v>
      </c>
      <c r="M217" t="s">
        <v>39</v>
      </c>
      <c r="N217" t="s">
        <v>26</v>
      </c>
      <c r="O217">
        <f t="shared" si="12"/>
        <v>1</v>
      </c>
      <c r="P217">
        <f t="shared" si="13"/>
        <v>1</v>
      </c>
      <c r="Q217">
        <f t="shared" si="14"/>
        <v>1</v>
      </c>
      <c r="R217" s="25" t="str">
        <f t="shared" si="15"/>
        <v>111</v>
      </c>
      <c r="S217" t="str" cm="1">
        <f t="array" ref="S217">_xlfn.IFS(AND(O217&gt;=4, P217&gt;=4, Q217&gt;=4), "Champions", AND(O217&gt;=3, P217&gt;=4), "Loyal Customers", AND(O217&gt;=4, P217&lt;=2), "New / Promising", AND(O217&lt;=2, P217&gt;=4), "At Risk Loyalists", AND(Q217&gt;=4, P217&lt;=3), "Big Spenders", AND(O217&lt;=2, P217&lt;=2), "Lost / Dormant", TRUE, "Regular Customers")</f>
        <v>Lost / Dormant</v>
      </c>
      <c r="T217" s="38"/>
    </row>
    <row r="218" spans="1:20" x14ac:dyDescent="0.2">
      <c r="A218" t="s">
        <v>257</v>
      </c>
      <c r="B218" t="s">
        <v>23</v>
      </c>
      <c r="C218" s="28">
        <v>515.41</v>
      </c>
      <c r="D218">
        <v>6</v>
      </c>
      <c r="E218" s="28">
        <v>85.88</v>
      </c>
      <c r="F218">
        <v>28</v>
      </c>
      <c r="G218">
        <v>9.6999999999999993</v>
      </c>
      <c r="H218">
        <v>4</v>
      </c>
      <c r="I218" t="s">
        <v>24</v>
      </c>
      <c r="J218">
        <v>3</v>
      </c>
      <c r="K218">
        <v>56.3</v>
      </c>
      <c r="L218">
        <v>20.399999999999999</v>
      </c>
      <c r="M218" t="s">
        <v>47</v>
      </c>
      <c r="N218" t="s">
        <v>43</v>
      </c>
      <c r="O218">
        <f t="shared" si="12"/>
        <v>4</v>
      </c>
      <c r="P218">
        <f t="shared" si="13"/>
        <v>4</v>
      </c>
      <c r="Q218">
        <f t="shared" si="14"/>
        <v>5</v>
      </c>
      <c r="R218" s="25" t="str">
        <f t="shared" si="15"/>
        <v>445</v>
      </c>
      <c r="S218" t="str" cm="1">
        <f t="array" ref="S218">_xlfn.IFS(AND(O218&gt;=4, P218&gt;=4, Q218&gt;=4), "Champions", AND(O218&gt;=3, P218&gt;=4), "Loyal Customers", AND(O218&gt;=4, P218&lt;=2), "New / Promising", AND(O218&lt;=2, P218&gt;=4), "At Risk Loyalists", AND(Q218&gt;=4, P218&lt;=3), "Big Spenders", AND(O218&lt;=2, P218&lt;=2), "Lost / Dormant", TRUE, "Regular Customers")</f>
        <v>Champions</v>
      </c>
      <c r="T218" s="38"/>
    </row>
    <row r="219" spans="1:20" x14ac:dyDescent="0.2">
      <c r="A219" t="s">
        <v>258</v>
      </c>
      <c r="B219" t="s">
        <v>32</v>
      </c>
      <c r="C219" s="28">
        <v>141.88999999999999</v>
      </c>
      <c r="D219">
        <v>2</v>
      </c>
      <c r="E219" s="28">
        <v>73.52</v>
      </c>
      <c r="F219">
        <v>40</v>
      </c>
      <c r="G219">
        <v>23.1</v>
      </c>
      <c r="H219">
        <v>4</v>
      </c>
      <c r="I219" t="s">
        <v>24</v>
      </c>
      <c r="J219">
        <v>6</v>
      </c>
      <c r="K219">
        <v>50.5</v>
      </c>
      <c r="L219">
        <v>8.5</v>
      </c>
      <c r="M219" t="s">
        <v>29</v>
      </c>
      <c r="N219" t="s">
        <v>45</v>
      </c>
      <c r="O219">
        <f t="shared" si="12"/>
        <v>3</v>
      </c>
      <c r="P219">
        <f t="shared" si="13"/>
        <v>1</v>
      </c>
      <c r="Q219">
        <f t="shared" si="14"/>
        <v>2</v>
      </c>
      <c r="R219" s="25" t="str">
        <f t="shared" si="15"/>
        <v>312</v>
      </c>
      <c r="S219" t="str" cm="1">
        <f t="array" ref="S219">_xlfn.IFS(AND(O219&gt;=4, P219&gt;=4, Q219&gt;=4), "Champions", AND(O219&gt;=3, P219&gt;=4), "Loyal Customers", AND(O219&gt;=4, P219&lt;=2), "New / Promising", AND(O219&lt;=2, P219&gt;=4), "At Risk Loyalists", AND(Q219&gt;=4, P219&lt;=3), "Big Spenders", AND(O219&lt;=2, P219&lt;=2), "Lost / Dormant", TRUE, "Regular Customers")</f>
        <v>Regular Customers</v>
      </c>
      <c r="T219" s="38"/>
    </row>
    <row r="220" spans="1:20" x14ac:dyDescent="0.2">
      <c r="A220" t="s">
        <v>259</v>
      </c>
      <c r="B220" t="s">
        <v>35</v>
      </c>
      <c r="C220" s="28">
        <v>166.53</v>
      </c>
      <c r="D220">
        <v>5</v>
      </c>
      <c r="E220" s="28">
        <v>32.96</v>
      </c>
      <c r="F220">
        <v>65</v>
      </c>
      <c r="G220">
        <v>42.6</v>
      </c>
      <c r="H220">
        <v>2</v>
      </c>
      <c r="I220" t="s">
        <v>33</v>
      </c>
      <c r="J220">
        <v>0</v>
      </c>
      <c r="K220">
        <v>41.6</v>
      </c>
      <c r="L220">
        <v>13</v>
      </c>
      <c r="M220" t="s">
        <v>25</v>
      </c>
      <c r="N220" t="s">
        <v>40</v>
      </c>
      <c r="O220">
        <f t="shared" si="12"/>
        <v>2</v>
      </c>
      <c r="P220">
        <f t="shared" si="13"/>
        <v>3</v>
      </c>
      <c r="Q220">
        <f t="shared" si="14"/>
        <v>2</v>
      </c>
      <c r="R220" s="25" t="str">
        <f t="shared" si="15"/>
        <v>232</v>
      </c>
      <c r="S220" t="str" cm="1">
        <f t="array" ref="S220">_xlfn.IFS(AND(O220&gt;=4, P220&gt;=4, Q220&gt;=4), "Champions", AND(O220&gt;=3, P220&gt;=4), "Loyal Customers", AND(O220&gt;=4, P220&lt;=2), "New / Promising", AND(O220&lt;=2, P220&gt;=4), "At Risk Loyalists", AND(Q220&gt;=4, P220&lt;=3), "Big Spenders", AND(O220&lt;=2, P220&lt;=2), "Lost / Dormant", TRUE, "Regular Customers")</f>
        <v>Regular Customers</v>
      </c>
      <c r="T220" s="38"/>
    </row>
    <row r="221" spans="1:20" x14ac:dyDescent="0.2">
      <c r="A221" t="s">
        <v>260</v>
      </c>
      <c r="B221" t="s">
        <v>32</v>
      </c>
      <c r="C221" s="28">
        <v>324.82</v>
      </c>
      <c r="D221">
        <v>5</v>
      </c>
      <c r="E221" s="28">
        <v>70.239999999999995</v>
      </c>
      <c r="F221">
        <v>25</v>
      </c>
      <c r="G221">
        <v>16</v>
      </c>
      <c r="H221">
        <v>5</v>
      </c>
      <c r="I221" t="s">
        <v>33</v>
      </c>
      <c r="J221">
        <v>0</v>
      </c>
      <c r="K221">
        <v>47.6</v>
      </c>
      <c r="L221">
        <v>10</v>
      </c>
      <c r="M221" t="s">
        <v>29</v>
      </c>
      <c r="N221" t="s">
        <v>26</v>
      </c>
      <c r="O221">
        <f t="shared" si="12"/>
        <v>4</v>
      </c>
      <c r="P221">
        <f t="shared" si="13"/>
        <v>3</v>
      </c>
      <c r="Q221">
        <f t="shared" si="14"/>
        <v>4</v>
      </c>
      <c r="R221" s="25" t="str">
        <f t="shared" si="15"/>
        <v>434</v>
      </c>
      <c r="S221" t="str" cm="1">
        <f t="array" ref="S221">_xlfn.IFS(AND(O221&gt;=4, P221&gt;=4, Q221&gt;=4), "Champions", AND(O221&gt;=3, P221&gt;=4), "Loyal Customers", AND(O221&gt;=4, P221&lt;=2), "New / Promising", AND(O221&lt;=2, P221&gt;=4), "At Risk Loyalists", AND(Q221&gt;=4, P221&lt;=3), "Big Spenders", AND(O221&lt;=2, P221&lt;=2), "Lost / Dormant", TRUE, "Regular Customers")</f>
        <v>Big Spenders</v>
      </c>
      <c r="T221" s="38"/>
    </row>
    <row r="222" spans="1:20" x14ac:dyDescent="0.2">
      <c r="A222" t="s">
        <v>261</v>
      </c>
      <c r="B222" t="s">
        <v>35</v>
      </c>
      <c r="C222" s="28">
        <v>290.62</v>
      </c>
      <c r="D222">
        <v>5</v>
      </c>
      <c r="E222" s="28">
        <v>60.27</v>
      </c>
      <c r="F222">
        <v>38</v>
      </c>
      <c r="G222">
        <v>24.8</v>
      </c>
      <c r="H222">
        <v>6</v>
      </c>
      <c r="I222" t="s">
        <v>24</v>
      </c>
      <c r="J222">
        <v>10</v>
      </c>
      <c r="K222">
        <v>51.3</v>
      </c>
      <c r="L222">
        <v>15.7</v>
      </c>
      <c r="M222" t="s">
        <v>47</v>
      </c>
      <c r="N222" t="s">
        <v>30</v>
      </c>
      <c r="O222">
        <f t="shared" si="12"/>
        <v>3</v>
      </c>
      <c r="P222">
        <f t="shared" si="13"/>
        <v>3</v>
      </c>
      <c r="Q222">
        <f t="shared" si="14"/>
        <v>3</v>
      </c>
      <c r="R222" s="25" t="str">
        <f t="shared" si="15"/>
        <v>333</v>
      </c>
      <c r="S222" t="str" cm="1">
        <f t="array" ref="S222">_xlfn.IFS(AND(O222&gt;=4, P222&gt;=4, Q222&gt;=4), "Champions", AND(O222&gt;=3, P222&gt;=4), "Loyal Customers", AND(O222&gt;=4, P222&lt;=2), "New / Promising", AND(O222&lt;=2, P222&gt;=4), "At Risk Loyalists", AND(Q222&gt;=4, P222&lt;=3), "Big Spenders", AND(O222&lt;=2, P222&lt;=2), "Lost / Dormant", TRUE, "Regular Customers")</f>
        <v>Regular Customers</v>
      </c>
      <c r="T222" s="38"/>
    </row>
    <row r="223" spans="1:20" x14ac:dyDescent="0.2">
      <c r="A223" t="s">
        <v>262</v>
      </c>
      <c r="B223" t="s">
        <v>58</v>
      </c>
      <c r="C223" s="28">
        <v>456.84</v>
      </c>
      <c r="D223">
        <v>6</v>
      </c>
      <c r="E223" s="28">
        <v>71.25</v>
      </c>
      <c r="F223">
        <v>30</v>
      </c>
      <c r="G223">
        <v>20</v>
      </c>
      <c r="H223">
        <v>3</v>
      </c>
      <c r="I223" t="s">
        <v>24</v>
      </c>
      <c r="J223">
        <v>6</v>
      </c>
      <c r="K223">
        <v>43.3</v>
      </c>
      <c r="L223">
        <v>7.2</v>
      </c>
      <c r="M223" t="s">
        <v>25</v>
      </c>
      <c r="N223" t="s">
        <v>43</v>
      </c>
      <c r="O223">
        <f t="shared" si="12"/>
        <v>4</v>
      </c>
      <c r="P223">
        <f t="shared" si="13"/>
        <v>4</v>
      </c>
      <c r="Q223">
        <f t="shared" si="14"/>
        <v>4</v>
      </c>
      <c r="R223" s="25" t="str">
        <f t="shared" si="15"/>
        <v>444</v>
      </c>
      <c r="S223" t="str" cm="1">
        <f t="array" ref="S223">_xlfn.IFS(AND(O223&gt;=4, P223&gt;=4, Q223&gt;=4), "Champions", AND(O223&gt;=3, P223&gt;=4), "Loyal Customers", AND(O223&gt;=4, P223&lt;=2), "New / Promising", AND(O223&lt;=2, P223&gt;=4), "At Risk Loyalists", AND(Q223&gt;=4, P223&lt;=3), "Big Spenders", AND(O223&lt;=2, P223&lt;=2), "Lost / Dormant", TRUE, "Regular Customers")</f>
        <v>Champions</v>
      </c>
      <c r="T223" s="38"/>
    </row>
    <row r="224" spans="1:20" x14ac:dyDescent="0.2">
      <c r="A224" t="s">
        <v>263</v>
      </c>
      <c r="B224" t="s">
        <v>37</v>
      </c>
      <c r="C224" s="28">
        <v>241.32</v>
      </c>
      <c r="D224">
        <v>5</v>
      </c>
      <c r="E224" s="28">
        <v>47.67</v>
      </c>
      <c r="F224">
        <v>2</v>
      </c>
      <c r="G224">
        <v>26.9</v>
      </c>
      <c r="H224">
        <v>4</v>
      </c>
      <c r="I224" t="s">
        <v>33</v>
      </c>
      <c r="J224">
        <v>0</v>
      </c>
      <c r="K224">
        <v>31.7</v>
      </c>
      <c r="L224">
        <v>17.100000000000001</v>
      </c>
      <c r="M224" t="s">
        <v>29</v>
      </c>
      <c r="N224" t="s">
        <v>40</v>
      </c>
      <c r="O224">
        <f t="shared" si="12"/>
        <v>5</v>
      </c>
      <c r="P224">
        <f t="shared" si="13"/>
        <v>3</v>
      </c>
      <c r="Q224">
        <f t="shared" si="14"/>
        <v>3</v>
      </c>
      <c r="R224" s="25" t="str">
        <f t="shared" si="15"/>
        <v>533</v>
      </c>
      <c r="S224" t="str" cm="1">
        <f t="array" ref="S224">_xlfn.IFS(AND(O224&gt;=4, P224&gt;=4, Q224&gt;=4), "Champions", AND(O224&gt;=3, P224&gt;=4), "Loyal Customers", AND(O224&gt;=4, P224&lt;=2), "New / Promising", AND(O224&lt;=2, P224&gt;=4), "At Risk Loyalists", AND(Q224&gt;=4, P224&lt;=3), "Big Spenders", AND(O224&lt;=2, P224&lt;=2), "Lost / Dormant", TRUE, "Regular Customers")</f>
        <v>Regular Customers</v>
      </c>
      <c r="T224" s="38"/>
    </row>
    <row r="225" spans="1:20" x14ac:dyDescent="0.2">
      <c r="A225" t="s">
        <v>264</v>
      </c>
      <c r="B225" t="s">
        <v>23</v>
      </c>
      <c r="C225" s="28">
        <v>305.83</v>
      </c>
      <c r="D225">
        <v>6</v>
      </c>
      <c r="E225" s="28">
        <v>49.46</v>
      </c>
      <c r="F225">
        <v>51</v>
      </c>
      <c r="G225">
        <v>43.5</v>
      </c>
      <c r="H225">
        <v>4</v>
      </c>
      <c r="I225" t="s">
        <v>33</v>
      </c>
      <c r="J225">
        <v>0</v>
      </c>
      <c r="K225">
        <v>45.3</v>
      </c>
      <c r="L225">
        <v>16</v>
      </c>
      <c r="M225" t="s">
        <v>29</v>
      </c>
      <c r="N225" t="s">
        <v>45</v>
      </c>
      <c r="O225">
        <f t="shared" si="12"/>
        <v>2</v>
      </c>
      <c r="P225">
        <f t="shared" si="13"/>
        <v>4</v>
      </c>
      <c r="Q225">
        <f t="shared" si="14"/>
        <v>4</v>
      </c>
      <c r="R225" s="25" t="str">
        <f t="shared" si="15"/>
        <v>244</v>
      </c>
      <c r="S225" t="str" cm="1">
        <f t="array" ref="S225">_xlfn.IFS(AND(O225&gt;=4, P225&gt;=4, Q225&gt;=4), "Champions", AND(O225&gt;=3, P225&gt;=4), "Loyal Customers", AND(O225&gt;=4, P225&lt;=2), "New / Promising", AND(O225&lt;=2, P225&gt;=4), "At Risk Loyalists", AND(Q225&gt;=4, P225&lt;=3), "Big Spenders", AND(O225&lt;=2, P225&lt;=2), "Lost / Dormant", TRUE, "Regular Customers")</f>
        <v>At Risk Loyalists</v>
      </c>
      <c r="T225" s="38"/>
    </row>
    <row r="226" spans="1:20" x14ac:dyDescent="0.2">
      <c r="A226" t="s">
        <v>265</v>
      </c>
      <c r="B226" t="s">
        <v>23</v>
      </c>
      <c r="C226" s="28">
        <v>92.16</v>
      </c>
      <c r="D226">
        <v>2</v>
      </c>
      <c r="E226" s="28">
        <v>47.7</v>
      </c>
      <c r="F226">
        <v>92</v>
      </c>
      <c r="G226">
        <v>16.7</v>
      </c>
      <c r="H226">
        <v>3</v>
      </c>
      <c r="I226" t="s">
        <v>24</v>
      </c>
      <c r="J226">
        <v>2</v>
      </c>
      <c r="K226">
        <v>23.8</v>
      </c>
      <c r="L226">
        <v>10.1</v>
      </c>
      <c r="M226" t="s">
        <v>39</v>
      </c>
      <c r="N226" t="s">
        <v>45</v>
      </c>
      <c r="O226">
        <f t="shared" si="12"/>
        <v>2</v>
      </c>
      <c r="P226">
        <f t="shared" si="13"/>
        <v>1</v>
      </c>
      <c r="Q226">
        <f t="shared" si="14"/>
        <v>1</v>
      </c>
      <c r="R226" s="25" t="str">
        <f t="shared" si="15"/>
        <v>211</v>
      </c>
      <c r="S226" t="str" cm="1">
        <f t="array" ref="S226">_xlfn.IFS(AND(O226&gt;=4, P226&gt;=4, Q226&gt;=4), "Champions", AND(O226&gt;=3, P226&gt;=4), "Loyal Customers", AND(O226&gt;=4, P226&lt;=2), "New / Promising", AND(O226&lt;=2, P226&gt;=4), "At Risk Loyalists", AND(Q226&gt;=4, P226&lt;=3), "Big Spenders", AND(O226&lt;=2, P226&lt;=2), "Lost / Dormant", TRUE, "Regular Customers")</f>
        <v>Lost / Dormant</v>
      </c>
      <c r="T226" s="38"/>
    </row>
    <row r="227" spans="1:20" x14ac:dyDescent="0.2">
      <c r="A227" t="s">
        <v>266</v>
      </c>
      <c r="B227" t="s">
        <v>23</v>
      </c>
      <c r="C227" s="28">
        <v>57.92</v>
      </c>
      <c r="D227">
        <v>1</v>
      </c>
      <c r="E227" s="28">
        <v>54.18</v>
      </c>
      <c r="F227">
        <v>229</v>
      </c>
      <c r="G227">
        <v>8.3000000000000007</v>
      </c>
      <c r="H227">
        <v>2</v>
      </c>
      <c r="I227" t="s">
        <v>33</v>
      </c>
      <c r="J227">
        <v>0</v>
      </c>
      <c r="K227">
        <v>22.8</v>
      </c>
      <c r="L227">
        <v>7.6</v>
      </c>
      <c r="M227" t="s">
        <v>53</v>
      </c>
      <c r="N227" t="s">
        <v>43</v>
      </c>
      <c r="O227">
        <f t="shared" si="12"/>
        <v>1</v>
      </c>
      <c r="P227">
        <f t="shared" si="13"/>
        <v>1</v>
      </c>
      <c r="Q227">
        <f t="shared" si="14"/>
        <v>1</v>
      </c>
      <c r="R227" s="25" t="str">
        <f t="shared" si="15"/>
        <v>111</v>
      </c>
      <c r="S227" t="str" cm="1">
        <f t="array" ref="S227">_xlfn.IFS(AND(O227&gt;=4, P227&gt;=4, Q227&gt;=4), "Champions", AND(O227&gt;=3, P227&gt;=4), "Loyal Customers", AND(O227&gt;=4, P227&lt;=2), "New / Promising", AND(O227&lt;=2, P227&gt;=4), "At Risk Loyalists", AND(Q227&gt;=4, P227&lt;=3), "Big Spenders", AND(O227&lt;=2, P227&lt;=2), "Lost / Dormant", TRUE, "Regular Customers")</f>
        <v>Lost / Dormant</v>
      </c>
      <c r="T227" s="38"/>
    </row>
    <row r="228" spans="1:20" x14ac:dyDescent="0.2">
      <c r="A228" t="s">
        <v>267</v>
      </c>
      <c r="B228" t="s">
        <v>28</v>
      </c>
      <c r="C228" s="28">
        <v>742.1</v>
      </c>
      <c r="D228">
        <v>10</v>
      </c>
      <c r="E228" s="28">
        <v>74.64</v>
      </c>
      <c r="F228">
        <v>32</v>
      </c>
      <c r="G228">
        <v>19.600000000000001</v>
      </c>
      <c r="H228">
        <v>4</v>
      </c>
      <c r="I228" t="s">
        <v>24</v>
      </c>
      <c r="J228">
        <v>13</v>
      </c>
      <c r="K228">
        <v>62.1</v>
      </c>
      <c r="L228">
        <v>16.899999999999999</v>
      </c>
      <c r="M228" t="s">
        <v>29</v>
      </c>
      <c r="N228" t="s">
        <v>43</v>
      </c>
      <c r="O228">
        <f t="shared" si="12"/>
        <v>4</v>
      </c>
      <c r="P228">
        <f t="shared" si="13"/>
        <v>5</v>
      </c>
      <c r="Q228">
        <f t="shared" si="14"/>
        <v>5</v>
      </c>
      <c r="R228" s="25" t="str">
        <f t="shared" si="15"/>
        <v>455</v>
      </c>
      <c r="S228" t="str" cm="1">
        <f t="array" ref="S228">_xlfn.IFS(AND(O228&gt;=4, P228&gt;=4, Q228&gt;=4), "Champions", AND(O228&gt;=3, P228&gt;=4), "Loyal Customers", AND(O228&gt;=4, P228&lt;=2), "New / Promising", AND(O228&lt;=2, P228&gt;=4), "At Risk Loyalists", AND(Q228&gt;=4, P228&lt;=3), "Big Spenders", AND(O228&lt;=2, P228&lt;=2), "Lost / Dormant", TRUE, "Regular Customers")</f>
        <v>Champions</v>
      </c>
      <c r="T228" s="38"/>
    </row>
    <row r="229" spans="1:20" x14ac:dyDescent="0.2">
      <c r="A229" t="s">
        <v>268</v>
      </c>
      <c r="B229" t="s">
        <v>23</v>
      </c>
      <c r="C229" s="28">
        <v>231.71</v>
      </c>
      <c r="D229">
        <v>4</v>
      </c>
      <c r="E229" s="28">
        <v>54.13</v>
      </c>
      <c r="F229">
        <v>41</v>
      </c>
      <c r="G229">
        <v>55.2</v>
      </c>
      <c r="H229">
        <v>2</v>
      </c>
      <c r="I229" t="s">
        <v>33</v>
      </c>
      <c r="J229">
        <v>0</v>
      </c>
      <c r="K229">
        <v>20.6</v>
      </c>
      <c r="L229">
        <v>12.3</v>
      </c>
      <c r="M229" t="s">
        <v>29</v>
      </c>
      <c r="N229" t="s">
        <v>43</v>
      </c>
      <c r="O229">
        <f t="shared" si="12"/>
        <v>3</v>
      </c>
      <c r="P229">
        <f t="shared" si="13"/>
        <v>3</v>
      </c>
      <c r="Q229">
        <f t="shared" si="14"/>
        <v>3</v>
      </c>
      <c r="R229" s="25" t="str">
        <f t="shared" si="15"/>
        <v>333</v>
      </c>
      <c r="S229" t="str" cm="1">
        <f t="array" ref="S229">_xlfn.IFS(AND(O229&gt;=4, P229&gt;=4, Q229&gt;=4), "Champions", AND(O229&gt;=3, P229&gt;=4), "Loyal Customers", AND(O229&gt;=4, P229&lt;=2), "New / Promising", AND(O229&lt;=2, P229&gt;=4), "At Risk Loyalists", AND(Q229&gt;=4, P229&lt;=3), "Big Spenders", AND(O229&lt;=2, P229&lt;=2), "Lost / Dormant", TRUE, "Regular Customers")</f>
        <v>Regular Customers</v>
      </c>
      <c r="T229" s="38"/>
    </row>
    <row r="230" spans="1:20" x14ac:dyDescent="0.2">
      <c r="A230" t="s">
        <v>269</v>
      </c>
      <c r="B230" t="s">
        <v>32</v>
      </c>
      <c r="C230" s="28">
        <v>73.87</v>
      </c>
      <c r="D230">
        <v>2</v>
      </c>
      <c r="E230" s="28">
        <v>35.119999999999997</v>
      </c>
      <c r="F230">
        <v>77</v>
      </c>
      <c r="G230">
        <v>43</v>
      </c>
      <c r="H230">
        <v>3</v>
      </c>
      <c r="I230" t="s">
        <v>24</v>
      </c>
      <c r="J230">
        <v>1</v>
      </c>
      <c r="K230">
        <v>19.3</v>
      </c>
      <c r="L230">
        <v>14.1</v>
      </c>
      <c r="M230" t="s">
        <v>47</v>
      </c>
      <c r="N230" t="s">
        <v>26</v>
      </c>
      <c r="O230">
        <f t="shared" si="12"/>
        <v>2</v>
      </c>
      <c r="P230">
        <f t="shared" si="13"/>
        <v>1</v>
      </c>
      <c r="Q230">
        <f t="shared" si="14"/>
        <v>1</v>
      </c>
      <c r="R230" s="25" t="str">
        <f t="shared" si="15"/>
        <v>211</v>
      </c>
      <c r="S230" t="str" cm="1">
        <f t="array" ref="S230">_xlfn.IFS(AND(O230&gt;=4, P230&gt;=4, Q230&gt;=4), "Champions", AND(O230&gt;=3, P230&gt;=4), "Loyal Customers", AND(O230&gt;=4, P230&lt;=2), "New / Promising", AND(O230&lt;=2, P230&gt;=4), "At Risk Loyalists", AND(Q230&gt;=4, P230&lt;=3), "Big Spenders", AND(O230&lt;=2, P230&lt;=2), "Lost / Dormant", TRUE, "Regular Customers")</f>
        <v>Lost / Dormant</v>
      </c>
      <c r="T230" s="38"/>
    </row>
    <row r="231" spans="1:20" x14ac:dyDescent="0.2">
      <c r="A231" t="s">
        <v>270</v>
      </c>
      <c r="B231" t="s">
        <v>35</v>
      </c>
      <c r="C231" s="28">
        <v>595.1</v>
      </c>
      <c r="D231">
        <v>7</v>
      </c>
      <c r="E231" s="28">
        <v>85.26</v>
      </c>
      <c r="F231">
        <v>7</v>
      </c>
      <c r="G231">
        <v>4.3</v>
      </c>
      <c r="H231">
        <v>3</v>
      </c>
      <c r="I231" t="s">
        <v>24</v>
      </c>
      <c r="J231">
        <v>16</v>
      </c>
      <c r="K231">
        <v>55.2</v>
      </c>
      <c r="L231">
        <v>11.7</v>
      </c>
      <c r="M231" t="s">
        <v>39</v>
      </c>
      <c r="N231" t="s">
        <v>45</v>
      </c>
      <c r="O231">
        <f t="shared" si="12"/>
        <v>5</v>
      </c>
      <c r="P231">
        <f t="shared" si="13"/>
        <v>5</v>
      </c>
      <c r="Q231">
        <f t="shared" si="14"/>
        <v>5</v>
      </c>
      <c r="R231" s="25" t="str">
        <f t="shared" si="15"/>
        <v>555</v>
      </c>
      <c r="S231" t="str" cm="1">
        <f t="array" ref="S231">_xlfn.IFS(AND(O231&gt;=4, P231&gt;=4, Q231&gt;=4), "Champions", AND(O231&gt;=3, P231&gt;=4), "Loyal Customers", AND(O231&gt;=4, P231&lt;=2), "New / Promising", AND(O231&lt;=2, P231&gt;=4), "At Risk Loyalists", AND(Q231&gt;=4, P231&lt;=3), "Big Spenders", AND(O231&lt;=2, P231&lt;=2), "Lost / Dormant", TRUE, "Regular Customers")</f>
        <v>Champions</v>
      </c>
      <c r="T231" s="38"/>
    </row>
    <row r="232" spans="1:20" x14ac:dyDescent="0.2">
      <c r="A232" t="s">
        <v>271</v>
      </c>
      <c r="B232" t="s">
        <v>32</v>
      </c>
      <c r="C232" s="28">
        <v>115.72</v>
      </c>
      <c r="D232">
        <v>2</v>
      </c>
      <c r="E232" s="28">
        <v>61.62</v>
      </c>
      <c r="F232">
        <v>119</v>
      </c>
      <c r="G232">
        <v>34</v>
      </c>
      <c r="H232">
        <v>1</v>
      </c>
      <c r="I232" t="s">
        <v>33</v>
      </c>
      <c r="J232">
        <v>0</v>
      </c>
      <c r="K232">
        <v>31.2</v>
      </c>
      <c r="L232">
        <v>6.2</v>
      </c>
      <c r="M232" t="s">
        <v>29</v>
      </c>
      <c r="N232" t="s">
        <v>45</v>
      </c>
      <c r="O232">
        <f t="shared" si="12"/>
        <v>1</v>
      </c>
      <c r="P232">
        <f t="shared" si="13"/>
        <v>1</v>
      </c>
      <c r="Q232">
        <f t="shared" si="14"/>
        <v>1</v>
      </c>
      <c r="R232" s="25" t="str">
        <f t="shared" si="15"/>
        <v>111</v>
      </c>
      <c r="S232" t="str" cm="1">
        <f t="array" ref="S232">_xlfn.IFS(AND(O232&gt;=4, P232&gt;=4, Q232&gt;=4), "Champions", AND(O232&gt;=3, P232&gt;=4), "Loyal Customers", AND(O232&gt;=4, P232&lt;=2), "New / Promising", AND(O232&lt;=2, P232&gt;=4), "At Risk Loyalists", AND(Q232&gt;=4, P232&lt;=3), "Big Spenders", AND(O232&lt;=2, P232&lt;=2), "Lost / Dormant", TRUE, "Regular Customers")</f>
        <v>Lost / Dormant</v>
      </c>
      <c r="T232" s="38"/>
    </row>
    <row r="233" spans="1:20" x14ac:dyDescent="0.2">
      <c r="A233" t="s">
        <v>272</v>
      </c>
      <c r="B233" t="s">
        <v>58</v>
      </c>
      <c r="C233" s="28">
        <v>223.06</v>
      </c>
      <c r="D233">
        <v>5</v>
      </c>
      <c r="E233" s="28">
        <v>43.52</v>
      </c>
      <c r="F233">
        <v>29</v>
      </c>
      <c r="G233">
        <v>53.4</v>
      </c>
      <c r="H233">
        <v>3</v>
      </c>
      <c r="I233" t="s">
        <v>33</v>
      </c>
      <c r="J233">
        <v>0</v>
      </c>
      <c r="K233">
        <v>26.5</v>
      </c>
      <c r="L233">
        <v>8.8000000000000007</v>
      </c>
      <c r="M233" t="s">
        <v>39</v>
      </c>
      <c r="N233" t="s">
        <v>40</v>
      </c>
      <c r="O233">
        <f t="shared" si="12"/>
        <v>4</v>
      </c>
      <c r="P233">
        <f t="shared" si="13"/>
        <v>3</v>
      </c>
      <c r="Q233">
        <f t="shared" si="14"/>
        <v>3</v>
      </c>
      <c r="R233" s="25" t="str">
        <f t="shared" si="15"/>
        <v>433</v>
      </c>
      <c r="S233" t="str" cm="1">
        <f t="array" ref="S233">_xlfn.IFS(AND(O233&gt;=4, P233&gt;=4, Q233&gt;=4), "Champions", AND(O233&gt;=3, P233&gt;=4), "Loyal Customers", AND(O233&gt;=4, P233&lt;=2), "New / Promising", AND(O233&lt;=2, P233&gt;=4), "At Risk Loyalists", AND(Q233&gt;=4, P233&lt;=3), "Big Spenders", AND(O233&lt;=2, P233&lt;=2), "Lost / Dormant", TRUE, "Regular Customers")</f>
        <v>Regular Customers</v>
      </c>
      <c r="T233" s="38"/>
    </row>
    <row r="234" spans="1:20" x14ac:dyDescent="0.2">
      <c r="A234" t="s">
        <v>273</v>
      </c>
      <c r="B234" t="s">
        <v>58</v>
      </c>
      <c r="C234" s="28">
        <v>570.33000000000004</v>
      </c>
      <c r="D234">
        <v>8</v>
      </c>
      <c r="E234" s="28">
        <v>76.47</v>
      </c>
      <c r="F234">
        <v>26</v>
      </c>
      <c r="G234">
        <v>9.9</v>
      </c>
      <c r="H234">
        <v>3</v>
      </c>
      <c r="I234" t="s">
        <v>24</v>
      </c>
      <c r="J234">
        <v>11</v>
      </c>
      <c r="K234">
        <v>58.2</v>
      </c>
      <c r="L234">
        <v>18.399999999999999</v>
      </c>
      <c r="M234" t="s">
        <v>25</v>
      </c>
      <c r="N234" t="s">
        <v>40</v>
      </c>
      <c r="O234">
        <f t="shared" si="12"/>
        <v>4</v>
      </c>
      <c r="P234">
        <f t="shared" si="13"/>
        <v>5</v>
      </c>
      <c r="Q234">
        <f t="shared" si="14"/>
        <v>5</v>
      </c>
      <c r="R234" s="25" t="str">
        <f t="shared" si="15"/>
        <v>455</v>
      </c>
      <c r="S234" t="str" cm="1">
        <f t="array" ref="S234">_xlfn.IFS(AND(O234&gt;=4, P234&gt;=4, Q234&gt;=4), "Champions", AND(O234&gt;=3, P234&gt;=4), "Loyal Customers", AND(O234&gt;=4, P234&lt;=2), "New / Promising", AND(O234&lt;=2, P234&gt;=4), "At Risk Loyalists", AND(Q234&gt;=4, P234&lt;=3), "Big Spenders", AND(O234&lt;=2, P234&lt;=2), "Lost / Dormant", TRUE, "Regular Customers")</f>
        <v>Champions</v>
      </c>
      <c r="T234" s="38"/>
    </row>
    <row r="235" spans="1:20" x14ac:dyDescent="0.2">
      <c r="A235" t="s">
        <v>274</v>
      </c>
      <c r="B235" t="s">
        <v>58</v>
      </c>
      <c r="C235" s="28">
        <v>452.74</v>
      </c>
      <c r="D235">
        <v>9</v>
      </c>
      <c r="E235" s="28">
        <v>51.5</v>
      </c>
      <c r="F235">
        <v>19</v>
      </c>
      <c r="G235">
        <v>19</v>
      </c>
      <c r="H235">
        <v>4</v>
      </c>
      <c r="I235" t="s">
        <v>24</v>
      </c>
      <c r="J235">
        <v>16</v>
      </c>
      <c r="K235">
        <v>50.4</v>
      </c>
      <c r="L235">
        <v>14.6</v>
      </c>
      <c r="M235" t="s">
        <v>25</v>
      </c>
      <c r="N235" t="s">
        <v>30</v>
      </c>
      <c r="O235">
        <f t="shared" si="12"/>
        <v>5</v>
      </c>
      <c r="P235">
        <f t="shared" si="13"/>
        <v>5</v>
      </c>
      <c r="Q235">
        <f t="shared" si="14"/>
        <v>4</v>
      </c>
      <c r="R235" s="25" t="str">
        <f t="shared" si="15"/>
        <v>554</v>
      </c>
      <c r="S235" t="str" cm="1">
        <f t="array" ref="S235">_xlfn.IFS(AND(O235&gt;=4, P235&gt;=4, Q235&gt;=4), "Champions", AND(O235&gt;=3, P235&gt;=4), "Loyal Customers", AND(O235&gt;=4, P235&lt;=2), "New / Promising", AND(O235&lt;=2, P235&gt;=4), "At Risk Loyalists", AND(Q235&gt;=4, P235&lt;=3), "Big Spenders", AND(O235&lt;=2, P235&lt;=2), "Lost / Dormant", TRUE, "Regular Customers")</f>
        <v>Champions</v>
      </c>
      <c r="T235" s="38"/>
    </row>
    <row r="236" spans="1:20" x14ac:dyDescent="0.2">
      <c r="A236" t="s">
        <v>275</v>
      </c>
      <c r="B236" t="s">
        <v>37</v>
      </c>
      <c r="C236" s="28">
        <v>189.73</v>
      </c>
      <c r="D236">
        <v>4</v>
      </c>
      <c r="E236" s="28">
        <v>44.72</v>
      </c>
      <c r="F236">
        <v>149</v>
      </c>
      <c r="G236">
        <v>16.399999999999999</v>
      </c>
      <c r="H236">
        <v>1</v>
      </c>
      <c r="I236" t="s">
        <v>33</v>
      </c>
      <c r="J236">
        <v>0</v>
      </c>
      <c r="K236">
        <v>18.8</v>
      </c>
      <c r="L236">
        <v>1.4</v>
      </c>
      <c r="M236" t="s">
        <v>39</v>
      </c>
      <c r="N236" t="s">
        <v>45</v>
      </c>
      <c r="O236">
        <f t="shared" si="12"/>
        <v>1</v>
      </c>
      <c r="P236">
        <f t="shared" si="13"/>
        <v>3</v>
      </c>
      <c r="Q236">
        <f t="shared" si="14"/>
        <v>2</v>
      </c>
      <c r="R236" s="25" t="str">
        <f t="shared" si="15"/>
        <v>132</v>
      </c>
      <c r="S236" t="str" cm="1">
        <f t="array" ref="S236">_xlfn.IFS(AND(O236&gt;=4, P236&gt;=4, Q236&gt;=4), "Champions", AND(O236&gt;=3, P236&gt;=4), "Loyal Customers", AND(O236&gt;=4, P236&lt;=2), "New / Promising", AND(O236&lt;=2, P236&gt;=4), "At Risk Loyalists", AND(Q236&gt;=4, P236&lt;=3), "Big Spenders", AND(O236&lt;=2, P236&lt;=2), "Lost / Dormant", TRUE, "Regular Customers")</f>
        <v>Regular Customers</v>
      </c>
      <c r="T236" s="38"/>
    </row>
    <row r="237" spans="1:20" x14ac:dyDescent="0.2">
      <c r="A237" t="s">
        <v>276</v>
      </c>
      <c r="B237" t="s">
        <v>32</v>
      </c>
      <c r="C237" s="28">
        <v>425.64</v>
      </c>
      <c r="D237">
        <v>7</v>
      </c>
      <c r="E237" s="28">
        <v>56.86</v>
      </c>
      <c r="F237">
        <v>45</v>
      </c>
      <c r="G237">
        <v>13.9</v>
      </c>
      <c r="H237">
        <v>4</v>
      </c>
      <c r="I237" t="s">
        <v>33</v>
      </c>
      <c r="J237">
        <v>0</v>
      </c>
      <c r="K237">
        <v>60.2</v>
      </c>
      <c r="L237">
        <v>14.7</v>
      </c>
      <c r="M237" t="s">
        <v>39</v>
      </c>
      <c r="N237" t="s">
        <v>40</v>
      </c>
      <c r="O237">
        <f t="shared" si="12"/>
        <v>3</v>
      </c>
      <c r="P237">
        <f t="shared" si="13"/>
        <v>5</v>
      </c>
      <c r="Q237">
        <f t="shared" si="14"/>
        <v>4</v>
      </c>
      <c r="R237" s="25" t="str">
        <f t="shared" si="15"/>
        <v>354</v>
      </c>
      <c r="S237" t="str" cm="1">
        <f t="array" ref="S237">_xlfn.IFS(AND(O237&gt;=4, P237&gt;=4, Q237&gt;=4), "Champions", AND(O237&gt;=3, P237&gt;=4), "Loyal Customers", AND(O237&gt;=4, P237&lt;=2), "New / Promising", AND(O237&lt;=2, P237&gt;=4), "At Risk Loyalists", AND(Q237&gt;=4, P237&lt;=3), "Big Spenders", AND(O237&lt;=2, P237&lt;=2), "Lost / Dormant", TRUE, "Regular Customers")</f>
        <v>Loyal Customers</v>
      </c>
      <c r="T237" s="38"/>
    </row>
    <row r="238" spans="1:20" x14ac:dyDescent="0.2">
      <c r="A238" t="s">
        <v>277</v>
      </c>
      <c r="B238" t="s">
        <v>23</v>
      </c>
      <c r="C238" s="28">
        <v>337.85</v>
      </c>
      <c r="D238">
        <v>5</v>
      </c>
      <c r="E238" s="28">
        <v>64.23</v>
      </c>
      <c r="F238">
        <v>65</v>
      </c>
      <c r="G238">
        <v>13.3</v>
      </c>
      <c r="H238">
        <v>5</v>
      </c>
      <c r="I238" t="s">
        <v>33</v>
      </c>
      <c r="J238">
        <v>0</v>
      </c>
      <c r="K238">
        <v>64.3</v>
      </c>
      <c r="L238">
        <v>21.1</v>
      </c>
      <c r="M238" t="s">
        <v>53</v>
      </c>
      <c r="N238" t="s">
        <v>45</v>
      </c>
      <c r="O238">
        <f t="shared" si="12"/>
        <v>2</v>
      </c>
      <c r="P238">
        <f t="shared" si="13"/>
        <v>3</v>
      </c>
      <c r="Q238">
        <f t="shared" si="14"/>
        <v>4</v>
      </c>
      <c r="R238" s="25" t="str">
        <f t="shared" si="15"/>
        <v>234</v>
      </c>
      <c r="S238" t="str" cm="1">
        <f t="array" ref="S238">_xlfn.IFS(AND(O238&gt;=4, P238&gt;=4, Q238&gt;=4), "Champions", AND(O238&gt;=3, P238&gt;=4), "Loyal Customers", AND(O238&gt;=4, P238&lt;=2), "New / Promising", AND(O238&lt;=2, P238&gt;=4), "At Risk Loyalists", AND(Q238&gt;=4, P238&lt;=3), "Big Spenders", AND(O238&lt;=2, P238&lt;=2), "Lost / Dormant", TRUE, "Regular Customers")</f>
        <v>Big Spenders</v>
      </c>
      <c r="T238" s="38"/>
    </row>
    <row r="239" spans="1:20" x14ac:dyDescent="0.2">
      <c r="A239" t="s">
        <v>278</v>
      </c>
      <c r="B239" t="s">
        <v>37</v>
      </c>
      <c r="C239" s="28">
        <v>168.5</v>
      </c>
      <c r="D239">
        <v>4</v>
      </c>
      <c r="E239" s="28">
        <v>43.87</v>
      </c>
      <c r="F239">
        <v>64</v>
      </c>
      <c r="G239">
        <v>45</v>
      </c>
      <c r="H239">
        <v>3</v>
      </c>
      <c r="I239" t="s">
        <v>33</v>
      </c>
      <c r="J239">
        <v>0</v>
      </c>
      <c r="K239">
        <v>45.3</v>
      </c>
      <c r="L239">
        <v>9.1</v>
      </c>
      <c r="M239" t="s">
        <v>29</v>
      </c>
      <c r="N239" t="s">
        <v>43</v>
      </c>
      <c r="O239">
        <f t="shared" si="12"/>
        <v>2</v>
      </c>
      <c r="P239">
        <f t="shared" si="13"/>
        <v>3</v>
      </c>
      <c r="Q239">
        <f t="shared" si="14"/>
        <v>2</v>
      </c>
      <c r="R239" s="25" t="str">
        <f t="shared" si="15"/>
        <v>232</v>
      </c>
      <c r="S239" t="str" cm="1">
        <f t="array" ref="S239">_xlfn.IFS(AND(O239&gt;=4, P239&gt;=4, Q239&gt;=4), "Champions", AND(O239&gt;=3, P239&gt;=4), "Loyal Customers", AND(O239&gt;=4, P239&lt;=2), "New / Promising", AND(O239&lt;=2, P239&gt;=4), "At Risk Loyalists", AND(Q239&gt;=4, P239&lt;=3), "Big Spenders", AND(O239&lt;=2, P239&lt;=2), "Lost / Dormant", TRUE, "Regular Customers")</f>
        <v>Regular Customers</v>
      </c>
      <c r="T239" s="38"/>
    </row>
    <row r="240" spans="1:20" x14ac:dyDescent="0.2">
      <c r="A240" t="s">
        <v>279</v>
      </c>
      <c r="B240" t="s">
        <v>35</v>
      </c>
      <c r="C240" s="28">
        <v>252.37</v>
      </c>
      <c r="D240">
        <v>5</v>
      </c>
      <c r="E240" s="28">
        <v>51.75</v>
      </c>
      <c r="F240">
        <v>42</v>
      </c>
      <c r="G240">
        <v>24.6</v>
      </c>
      <c r="H240">
        <v>1</v>
      </c>
      <c r="I240" t="s">
        <v>24</v>
      </c>
      <c r="J240">
        <v>8</v>
      </c>
      <c r="K240">
        <v>53.1</v>
      </c>
      <c r="L240">
        <v>7.2</v>
      </c>
      <c r="M240" t="s">
        <v>47</v>
      </c>
      <c r="N240" t="s">
        <v>43</v>
      </c>
      <c r="O240">
        <f t="shared" si="12"/>
        <v>3</v>
      </c>
      <c r="P240">
        <f t="shared" si="13"/>
        <v>3</v>
      </c>
      <c r="Q240">
        <f t="shared" si="14"/>
        <v>3</v>
      </c>
      <c r="R240" s="25" t="str">
        <f t="shared" si="15"/>
        <v>333</v>
      </c>
      <c r="S240" t="str" cm="1">
        <f t="array" ref="S240">_xlfn.IFS(AND(O240&gt;=4, P240&gt;=4, Q240&gt;=4), "Champions", AND(O240&gt;=3, P240&gt;=4), "Loyal Customers", AND(O240&gt;=4, P240&lt;=2), "New / Promising", AND(O240&lt;=2, P240&gt;=4), "At Risk Loyalists", AND(Q240&gt;=4, P240&lt;=3), "Big Spenders", AND(O240&lt;=2, P240&lt;=2), "Lost / Dormant", TRUE, "Regular Customers")</f>
        <v>Regular Customers</v>
      </c>
      <c r="T240" s="38"/>
    </row>
    <row r="241" spans="1:20" x14ac:dyDescent="0.2">
      <c r="A241" t="s">
        <v>280</v>
      </c>
      <c r="B241" t="s">
        <v>37</v>
      </c>
      <c r="C241" s="28">
        <v>254.34</v>
      </c>
      <c r="D241">
        <v>4</v>
      </c>
      <c r="E241" s="28">
        <v>62</v>
      </c>
      <c r="F241">
        <v>166</v>
      </c>
      <c r="G241">
        <v>20.7</v>
      </c>
      <c r="H241">
        <v>1</v>
      </c>
      <c r="I241" t="s">
        <v>33</v>
      </c>
      <c r="J241">
        <v>0</v>
      </c>
      <c r="K241">
        <v>28.8</v>
      </c>
      <c r="L241">
        <v>5.2</v>
      </c>
      <c r="M241" t="s">
        <v>47</v>
      </c>
      <c r="N241" t="s">
        <v>26</v>
      </c>
      <c r="O241">
        <f t="shared" si="12"/>
        <v>1</v>
      </c>
      <c r="P241">
        <f t="shared" si="13"/>
        <v>3</v>
      </c>
      <c r="Q241">
        <f t="shared" si="14"/>
        <v>3</v>
      </c>
      <c r="R241" s="25" t="str">
        <f t="shared" si="15"/>
        <v>133</v>
      </c>
      <c r="S241" t="str" cm="1">
        <f t="array" ref="S241">_xlfn.IFS(AND(O241&gt;=4, P241&gt;=4, Q241&gt;=4), "Champions", AND(O241&gt;=3, P241&gt;=4), "Loyal Customers", AND(O241&gt;=4, P241&lt;=2), "New / Promising", AND(O241&lt;=2, P241&gt;=4), "At Risk Loyalists", AND(Q241&gt;=4, P241&lt;=3), "Big Spenders", AND(O241&lt;=2, P241&lt;=2), "Lost / Dormant", TRUE, "Regular Customers")</f>
        <v>Regular Customers</v>
      </c>
      <c r="T241" s="38"/>
    </row>
    <row r="242" spans="1:20" x14ac:dyDescent="0.2">
      <c r="A242" t="s">
        <v>281</v>
      </c>
      <c r="B242" t="s">
        <v>28</v>
      </c>
      <c r="C242" s="28">
        <v>203.04</v>
      </c>
      <c r="D242">
        <v>4</v>
      </c>
      <c r="E242" s="28">
        <v>51.43</v>
      </c>
      <c r="F242">
        <v>11</v>
      </c>
      <c r="G242">
        <v>29.6</v>
      </c>
      <c r="H242">
        <v>5</v>
      </c>
      <c r="I242" t="s">
        <v>24</v>
      </c>
      <c r="J242">
        <v>1</v>
      </c>
      <c r="K242">
        <v>60.6</v>
      </c>
      <c r="L242">
        <v>11.4</v>
      </c>
      <c r="M242" t="s">
        <v>25</v>
      </c>
      <c r="N242" t="s">
        <v>40</v>
      </c>
      <c r="O242">
        <f t="shared" si="12"/>
        <v>5</v>
      </c>
      <c r="P242">
        <f t="shared" si="13"/>
        <v>3</v>
      </c>
      <c r="Q242">
        <f t="shared" si="14"/>
        <v>2</v>
      </c>
      <c r="R242" s="25" t="str">
        <f t="shared" si="15"/>
        <v>532</v>
      </c>
      <c r="S242" t="str" cm="1">
        <f t="array" ref="S242">_xlfn.IFS(AND(O242&gt;=4, P242&gt;=4, Q242&gt;=4), "Champions", AND(O242&gt;=3, P242&gt;=4), "Loyal Customers", AND(O242&gt;=4, P242&lt;=2), "New / Promising", AND(O242&lt;=2, P242&gt;=4), "At Risk Loyalists", AND(Q242&gt;=4, P242&lt;=3), "Big Spenders", AND(O242&lt;=2, P242&lt;=2), "Lost / Dormant", TRUE, "Regular Customers")</f>
        <v>Regular Customers</v>
      </c>
      <c r="T242" s="38"/>
    </row>
    <row r="243" spans="1:20" x14ac:dyDescent="0.2">
      <c r="A243" t="s">
        <v>282</v>
      </c>
      <c r="B243" t="s">
        <v>28</v>
      </c>
      <c r="C243" s="28">
        <v>238.85</v>
      </c>
      <c r="D243">
        <v>5</v>
      </c>
      <c r="E243" s="28">
        <v>45.11</v>
      </c>
      <c r="F243">
        <v>36</v>
      </c>
      <c r="G243">
        <v>51</v>
      </c>
      <c r="H243">
        <v>2</v>
      </c>
      <c r="I243" t="s">
        <v>24</v>
      </c>
      <c r="J243">
        <v>2</v>
      </c>
      <c r="K243">
        <v>41.4</v>
      </c>
      <c r="L243">
        <v>8.5</v>
      </c>
      <c r="M243" t="s">
        <v>47</v>
      </c>
      <c r="N243" t="s">
        <v>30</v>
      </c>
      <c r="O243">
        <f t="shared" si="12"/>
        <v>3</v>
      </c>
      <c r="P243">
        <f t="shared" si="13"/>
        <v>3</v>
      </c>
      <c r="Q243">
        <f t="shared" si="14"/>
        <v>3</v>
      </c>
      <c r="R243" s="25" t="str">
        <f t="shared" si="15"/>
        <v>333</v>
      </c>
      <c r="S243" t="str" cm="1">
        <f t="array" ref="S243">_xlfn.IFS(AND(O243&gt;=4, P243&gt;=4, Q243&gt;=4), "Champions", AND(O243&gt;=3, P243&gt;=4), "Loyal Customers", AND(O243&gt;=4, P243&lt;=2), "New / Promising", AND(O243&lt;=2, P243&gt;=4), "At Risk Loyalists", AND(Q243&gt;=4, P243&lt;=3), "Big Spenders", AND(O243&lt;=2, P243&lt;=2), "Lost / Dormant", TRUE, "Regular Customers")</f>
        <v>Regular Customers</v>
      </c>
      <c r="T243" s="38"/>
    </row>
    <row r="244" spans="1:20" x14ac:dyDescent="0.2">
      <c r="A244" t="s">
        <v>283</v>
      </c>
      <c r="B244" t="s">
        <v>28</v>
      </c>
      <c r="C244" s="28">
        <v>98.81</v>
      </c>
      <c r="D244">
        <v>2</v>
      </c>
      <c r="E244" s="28">
        <v>53.33</v>
      </c>
      <c r="F244">
        <v>54</v>
      </c>
      <c r="G244">
        <v>29.4</v>
      </c>
      <c r="H244">
        <v>3</v>
      </c>
      <c r="I244" t="s">
        <v>24</v>
      </c>
      <c r="J244">
        <v>2</v>
      </c>
      <c r="K244">
        <v>22.2</v>
      </c>
      <c r="L244">
        <v>3</v>
      </c>
      <c r="M244" t="s">
        <v>25</v>
      </c>
      <c r="N244" t="s">
        <v>43</v>
      </c>
      <c r="O244">
        <f t="shared" si="12"/>
        <v>2</v>
      </c>
      <c r="P244">
        <f t="shared" si="13"/>
        <v>1</v>
      </c>
      <c r="Q244">
        <f t="shared" si="14"/>
        <v>1</v>
      </c>
      <c r="R244" s="25" t="str">
        <f t="shared" si="15"/>
        <v>211</v>
      </c>
      <c r="S244" t="str" cm="1">
        <f t="array" ref="S244">_xlfn.IFS(AND(O244&gt;=4, P244&gt;=4, Q244&gt;=4), "Champions", AND(O244&gt;=3, P244&gt;=4), "Loyal Customers", AND(O244&gt;=4, P244&lt;=2), "New / Promising", AND(O244&lt;=2, P244&gt;=4), "At Risk Loyalists", AND(Q244&gt;=4, P244&lt;=3), "Big Spenders", AND(O244&lt;=2, P244&lt;=2), "Lost / Dormant", TRUE, "Regular Customers")</f>
        <v>Lost / Dormant</v>
      </c>
      <c r="T244" s="38"/>
    </row>
    <row r="245" spans="1:20" x14ac:dyDescent="0.2">
      <c r="A245" t="s">
        <v>284</v>
      </c>
      <c r="B245" t="s">
        <v>23</v>
      </c>
      <c r="C245" s="28">
        <v>145.76</v>
      </c>
      <c r="D245">
        <v>4</v>
      </c>
      <c r="E245" s="28">
        <v>34.229999999999997</v>
      </c>
      <c r="F245">
        <v>141</v>
      </c>
      <c r="G245">
        <v>36.9</v>
      </c>
      <c r="H245">
        <v>2</v>
      </c>
      <c r="I245" t="s">
        <v>33</v>
      </c>
      <c r="J245">
        <v>0</v>
      </c>
      <c r="K245">
        <v>13.8</v>
      </c>
      <c r="L245">
        <v>7.8</v>
      </c>
      <c r="M245" t="s">
        <v>55</v>
      </c>
      <c r="N245" t="s">
        <v>30</v>
      </c>
      <c r="O245">
        <f t="shared" si="12"/>
        <v>1</v>
      </c>
      <c r="P245">
        <f t="shared" si="13"/>
        <v>3</v>
      </c>
      <c r="Q245">
        <f t="shared" si="14"/>
        <v>2</v>
      </c>
      <c r="R245" s="25" t="str">
        <f t="shared" si="15"/>
        <v>132</v>
      </c>
      <c r="S245" t="str" cm="1">
        <f t="array" ref="S245">_xlfn.IFS(AND(O245&gt;=4, P245&gt;=4, Q245&gt;=4), "Champions", AND(O245&gt;=3, P245&gt;=4), "Loyal Customers", AND(O245&gt;=4, P245&lt;=2), "New / Promising", AND(O245&lt;=2, P245&gt;=4), "At Risk Loyalists", AND(Q245&gt;=4, P245&lt;=3), "Big Spenders", AND(O245&lt;=2, P245&lt;=2), "Lost / Dormant", TRUE, "Regular Customers")</f>
        <v>Regular Customers</v>
      </c>
      <c r="T245" s="38"/>
    </row>
    <row r="246" spans="1:20" x14ac:dyDescent="0.2">
      <c r="A246" t="s">
        <v>285</v>
      </c>
      <c r="B246" t="s">
        <v>37</v>
      </c>
      <c r="C246" s="28">
        <v>186.92</v>
      </c>
      <c r="D246">
        <v>7</v>
      </c>
      <c r="E246" s="28">
        <v>24.98</v>
      </c>
      <c r="F246">
        <v>27</v>
      </c>
      <c r="G246">
        <v>46.8</v>
      </c>
      <c r="H246">
        <v>3</v>
      </c>
      <c r="I246" t="s">
        <v>24</v>
      </c>
      <c r="J246">
        <v>7</v>
      </c>
      <c r="K246">
        <v>44.4</v>
      </c>
      <c r="L246">
        <v>7.8</v>
      </c>
      <c r="M246" t="s">
        <v>25</v>
      </c>
      <c r="N246" t="s">
        <v>30</v>
      </c>
      <c r="O246">
        <f t="shared" si="12"/>
        <v>4</v>
      </c>
      <c r="P246">
        <f t="shared" si="13"/>
        <v>5</v>
      </c>
      <c r="Q246">
        <f t="shared" si="14"/>
        <v>2</v>
      </c>
      <c r="R246" s="25" t="str">
        <f t="shared" si="15"/>
        <v>452</v>
      </c>
      <c r="S246" t="str" cm="1">
        <f t="array" ref="S246">_xlfn.IFS(AND(O246&gt;=4, P246&gt;=4, Q246&gt;=4), "Champions", AND(O246&gt;=3, P246&gt;=4), "Loyal Customers", AND(O246&gt;=4, P246&lt;=2), "New / Promising", AND(O246&lt;=2, P246&gt;=4), "At Risk Loyalists", AND(Q246&gt;=4, P246&lt;=3), "Big Spenders", AND(O246&lt;=2, P246&lt;=2), "Lost / Dormant", TRUE, "Regular Customers")</f>
        <v>Loyal Customers</v>
      </c>
      <c r="T246" s="38"/>
    </row>
    <row r="247" spans="1:20" x14ac:dyDescent="0.2">
      <c r="A247" t="s">
        <v>286</v>
      </c>
      <c r="B247" t="s">
        <v>28</v>
      </c>
      <c r="C247" s="28">
        <v>188.9</v>
      </c>
      <c r="D247">
        <v>4</v>
      </c>
      <c r="E247" s="28">
        <v>49.93</v>
      </c>
      <c r="F247">
        <v>28</v>
      </c>
      <c r="G247">
        <v>34.4</v>
      </c>
      <c r="H247">
        <v>2</v>
      </c>
      <c r="I247" t="s">
        <v>24</v>
      </c>
      <c r="J247">
        <v>6</v>
      </c>
      <c r="K247">
        <v>54.7</v>
      </c>
      <c r="L247">
        <v>1.1000000000000001</v>
      </c>
      <c r="M247" t="s">
        <v>39</v>
      </c>
      <c r="N247" t="s">
        <v>43</v>
      </c>
      <c r="O247">
        <f t="shared" si="12"/>
        <v>4</v>
      </c>
      <c r="P247">
        <f t="shared" si="13"/>
        <v>3</v>
      </c>
      <c r="Q247">
        <f t="shared" si="14"/>
        <v>2</v>
      </c>
      <c r="R247" s="25" t="str">
        <f t="shared" si="15"/>
        <v>432</v>
      </c>
      <c r="S247" t="str" cm="1">
        <f t="array" ref="S247">_xlfn.IFS(AND(O247&gt;=4, P247&gt;=4, Q247&gt;=4), "Champions", AND(O247&gt;=3, P247&gt;=4), "Loyal Customers", AND(O247&gt;=4, P247&lt;=2), "New / Promising", AND(O247&lt;=2, P247&gt;=4), "At Risk Loyalists", AND(Q247&gt;=4, P247&lt;=3), "Big Spenders", AND(O247&lt;=2, P247&lt;=2), "Lost / Dormant", TRUE, "Regular Customers")</f>
        <v>Regular Customers</v>
      </c>
      <c r="T247" s="38"/>
    </row>
    <row r="248" spans="1:20" x14ac:dyDescent="0.2">
      <c r="A248" t="s">
        <v>287</v>
      </c>
      <c r="B248" t="s">
        <v>23</v>
      </c>
      <c r="C248" s="28">
        <v>395.53</v>
      </c>
      <c r="D248">
        <v>7</v>
      </c>
      <c r="E248" s="28">
        <v>60.82</v>
      </c>
      <c r="F248">
        <v>43</v>
      </c>
      <c r="G248">
        <v>19.899999999999999</v>
      </c>
      <c r="H248">
        <v>4</v>
      </c>
      <c r="I248" t="s">
        <v>24</v>
      </c>
      <c r="J248">
        <v>5</v>
      </c>
      <c r="K248">
        <v>65</v>
      </c>
      <c r="L248">
        <v>8.6999999999999993</v>
      </c>
      <c r="M248" t="s">
        <v>25</v>
      </c>
      <c r="N248" t="s">
        <v>26</v>
      </c>
      <c r="O248">
        <f t="shared" si="12"/>
        <v>3</v>
      </c>
      <c r="P248">
        <f t="shared" si="13"/>
        <v>5</v>
      </c>
      <c r="Q248">
        <f t="shared" si="14"/>
        <v>4</v>
      </c>
      <c r="R248" s="25" t="str">
        <f t="shared" si="15"/>
        <v>354</v>
      </c>
      <c r="S248" t="str" cm="1">
        <f t="array" ref="S248">_xlfn.IFS(AND(O248&gt;=4, P248&gt;=4, Q248&gt;=4), "Champions", AND(O248&gt;=3, P248&gt;=4), "Loyal Customers", AND(O248&gt;=4, P248&lt;=2), "New / Promising", AND(O248&lt;=2, P248&gt;=4), "At Risk Loyalists", AND(Q248&gt;=4, P248&lt;=3), "Big Spenders", AND(O248&lt;=2, P248&lt;=2), "Lost / Dormant", TRUE, "Regular Customers")</f>
        <v>Loyal Customers</v>
      </c>
      <c r="T248" s="38"/>
    </row>
    <row r="249" spans="1:20" x14ac:dyDescent="0.2">
      <c r="A249" t="s">
        <v>288</v>
      </c>
      <c r="B249" t="s">
        <v>28</v>
      </c>
      <c r="C249" s="28">
        <v>95.7</v>
      </c>
      <c r="D249">
        <v>2</v>
      </c>
      <c r="E249" s="28">
        <v>50.01</v>
      </c>
      <c r="F249">
        <v>167</v>
      </c>
      <c r="G249">
        <v>12.5</v>
      </c>
      <c r="H249">
        <v>1</v>
      </c>
      <c r="I249" t="s">
        <v>33</v>
      </c>
      <c r="J249">
        <v>0</v>
      </c>
      <c r="K249">
        <v>28.2</v>
      </c>
      <c r="L249">
        <v>4.0999999999999996</v>
      </c>
      <c r="M249" t="s">
        <v>55</v>
      </c>
      <c r="N249" t="s">
        <v>30</v>
      </c>
      <c r="O249">
        <f t="shared" si="12"/>
        <v>1</v>
      </c>
      <c r="P249">
        <f t="shared" si="13"/>
        <v>1</v>
      </c>
      <c r="Q249">
        <f t="shared" si="14"/>
        <v>1</v>
      </c>
      <c r="R249" s="25" t="str">
        <f t="shared" si="15"/>
        <v>111</v>
      </c>
      <c r="S249" t="str" cm="1">
        <f t="array" ref="S249">_xlfn.IFS(AND(O249&gt;=4, P249&gt;=4, Q249&gt;=4), "Champions", AND(O249&gt;=3, P249&gt;=4), "Loyal Customers", AND(O249&gt;=4, P249&lt;=2), "New / Promising", AND(O249&lt;=2, P249&gt;=4), "At Risk Loyalists", AND(Q249&gt;=4, P249&lt;=3), "Big Spenders", AND(O249&lt;=2, P249&lt;=2), "Lost / Dormant", TRUE, "Regular Customers")</f>
        <v>Lost / Dormant</v>
      </c>
      <c r="T249" s="38"/>
    </row>
    <row r="250" spans="1:20" x14ac:dyDescent="0.2">
      <c r="A250" t="s">
        <v>289</v>
      </c>
      <c r="B250" t="s">
        <v>28</v>
      </c>
      <c r="C250" s="28">
        <v>254.01</v>
      </c>
      <c r="D250">
        <v>6</v>
      </c>
      <c r="E250" s="28">
        <v>44.8</v>
      </c>
      <c r="F250">
        <v>52</v>
      </c>
      <c r="G250">
        <v>21</v>
      </c>
      <c r="H250">
        <v>5</v>
      </c>
      <c r="I250" t="s">
        <v>33</v>
      </c>
      <c r="J250">
        <v>0</v>
      </c>
      <c r="K250">
        <v>44.2</v>
      </c>
      <c r="L250">
        <v>18.899999999999999</v>
      </c>
      <c r="M250" t="s">
        <v>39</v>
      </c>
      <c r="N250" t="s">
        <v>30</v>
      </c>
      <c r="O250">
        <f t="shared" si="12"/>
        <v>2</v>
      </c>
      <c r="P250">
        <f t="shared" si="13"/>
        <v>4</v>
      </c>
      <c r="Q250">
        <f t="shared" si="14"/>
        <v>3</v>
      </c>
      <c r="R250" s="25" t="str">
        <f t="shared" si="15"/>
        <v>243</v>
      </c>
      <c r="S250" t="str" cm="1">
        <f t="array" ref="S250">_xlfn.IFS(AND(O250&gt;=4, P250&gt;=4, Q250&gt;=4), "Champions", AND(O250&gt;=3, P250&gt;=4), "Loyal Customers", AND(O250&gt;=4, P250&lt;=2), "New / Promising", AND(O250&lt;=2, P250&gt;=4), "At Risk Loyalists", AND(Q250&gt;=4, P250&lt;=3), "Big Spenders", AND(O250&lt;=2, P250&lt;=2), "Lost / Dormant", TRUE, "Regular Customers")</f>
        <v>At Risk Loyalists</v>
      </c>
      <c r="T250" s="38"/>
    </row>
    <row r="251" spans="1:20" x14ac:dyDescent="0.2">
      <c r="A251" t="s">
        <v>290</v>
      </c>
      <c r="B251" t="s">
        <v>32</v>
      </c>
      <c r="C251" s="28">
        <v>213.94</v>
      </c>
      <c r="D251">
        <v>3</v>
      </c>
      <c r="E251" s="28">
        <v>69.98</v>
      </c>
      <c r="F251">
        <v>51</v>
      </c>
      <c r="G251">
        <v>14</v>
      </c>
      <c r="H251">
        <v>5</v>
      </c>
      <c r="I251" t="s">
        <v>33</v>
      </c>
      <c r="J251">
        <v>0</v>
      </c>
      <c r="K251">
        <v>66.3</v>
      </c>
      <c r="L251">
        <v>11.6</v>
      </c>
      <c r="M251" t="s">
        <v>47</v>
      </c>
      <c r="N251" t="s">
        <v>45</v>
      </c>
      <c r="O251">
        <f t="shared" si="12"/>
        <v>2</v>
      </c>
      <c r="P251">
        <f t="shared" si="13"/>
        <v>2</v>
      </c>
      <c r="Q251">
        <f t="shared" si="14"/>
        <v>3</v>
      </c>
      <c r="R251" s="25" t="str">
        <f t="shared" si="15"/>
        <v>223</v>
      </c>
      <c r="S251" t="str" cm="1">
        <f t="array" ref="S251">_xlfn.IFS(AND(O251&gt;=4, P251&gt;=4, Q251&gt;=4), "Champions", AND(O251&gt;=3, P251&gt;=4), "Loyal Customers", AND(O251&gt;=4, P251&lt;=2), "New / Promising", AND(O251&lt;=2, P251&gt;=4), "At Risk Loyalists", AND(Q251&gt;=4, P251&lt;=3), "Big Spenders", AND(O251&lt;=2, P251&lt;=2), "Lost / Dormant", TRUE, "Regular Customers")</f>
        <v>Lost / Dormant</v>
      </c>
      <c r="T251" s="38"/>
    </row>
    <row r="252" spans="1:20" x14ac:dyDescent="0.2">
      <c r="A252" t="s">
        <v>291</v>
      </c>
      <c r="B252" t="s">
        <v>23</v>
      </c>
      <c r="C252" s="28">
        <v>36.909999999999997</v>
      </c>
      <c r="D252">
        <v>1</v>
      </c>
      <c r="E252" s="28">
        <v>36.58</v>
      </c>
      <c r="F252">
        <v>172</v>
      </c>
      <c r="G252">
        <v>3.2</v>
      </c>
      <c r="H252">
        <v>1</v>
      </c>
      <c r="I252" t="s">
        <v>33</v>
      </c>
      <c r="J252">
        <v>0</v>
      </c>
      <c r="K252">
        <v>29.4</v>
      </c>
      <c r="L252">
        <v>6.6</v>
      </c>
      <c r="M252" t="s">
        <v>25</v>
      </c>
      <c r="N252" t="s">
        <v>30</v>
      </c>
      <c r="O252">
        <f t="shared" si="12"/>
        <v>1</v>
      </c>
      <c r="P252">
        <f t="shared" si="13"/>
        <v>1</v>
      </c>
      <c r="Q252">
        <f t="shared" si="14"/>
        <v>1</v>
      </c>
      <c r="R252" s="25" t="str">
        <f t="shared" si="15"/>
        <v>111</v>
      </c>
      <c r="S252" t="str" cm="1">
        <f t="array" ref="S252">_xlfn.IFS(AND(O252&gt;=4, P252&gt;=4, Q252&gt;=4), "Champions", AND(O252&gt;=3, P252&gt;=4), "Loyal Customers", AND(O252&gt;=4, P252&lt;=2), "New / Promising", AND(O252&lt;=2, P252&gt;=4), "At Risk Loyalists", AND(Q252&gt;=4, P252&lt;=3), "Big Spenders", AND(O252&lt;=2, P252&lt;=2), "Lost / Dormant", TRUE, "Regular Customers")</f>
        <v>Lost / Dormant</v>
      </c>
      <c r="T252" s="38"/>
    </row>
    <row r="253" spans="1:20" x14ac:dyDescent="0.2">
      <c r="A253" t="s">
        <v>292</v>
      </c>
      <c r="B253" t="s">
        <v>23</v>
      </c>
      <c r="C253" s="28">
        <v>158.29</v>
      </c>
      <c r="D253">
        <v>3</v>
      </c>
      <c r="E253" s="28">
        <v>51.91</v>
      </c>
      <c r="F253">
        <v>49</v>
      </c>
      <c r="G253">
        <v>18.3</v>
      </c>
      <c r="H253">
        <v>5</v>
      </c>
      <c r="I253" t="s">
        <v>24</v>
      </c>
      <c r="J253">
        <v>9</v>
      </c>
      <c r="K253">
        <v>57</v>
      </c>
      <c r="L253">
        <v>21.4</v>
      </c>
      <c r="M253" t="s">
        <v>47</v>
      </c>
      <c r="N253" t="s">
        <v>45</v>
      </c>
      <c r="O253">
        <f t="shared" si="12"/>
        <v>3</v>
      </c>
      <c r="P253">
        <f t="shared" si="13"/>
        <v>2</v>
      </c>
      <c r="Q253">
        <f t="shared" si="14"/>
        <v>2</v>
      </c>
      <c r="R253" s="25" t="str">
        <f t="shared" si="15"/>
        <v>322</v>
      </c>
      <c r="S253" t="str" cm="1">
        <f t="array" ref="S253">_xlfn.IFS(AND(O253&gt;=4, P253&gt;=4, Q253&gt;=4), "Champions", AND(O253&gt;=3, P253&gt;=4), "Loyal Customers", AND(O253&gt;=4, P253&lt;=2), "New / Promising", AND(O253&lt;=2, P253&gt;=4), "At Risk Loyalists", AND(Q253&gt;=4, P253&lt;=3), "Big Spenders", AND(O253&lt;=2, P253&lt;=2), "Lost / Dormant", TRUE, "Regular Customers")</f>
        <v>Regular Customers</v>
      </c>
      <c r="T253" s="38"/>
    </row>
    <row r="254" spans="1:20" x14ac:dyDescent="0.2">
      <c r="A254" t="s">
        <v>293</v>
      </c>
      <c r="B254" t="s">
        <v>32</v>
      </c>
      <c r="C254" s="28">
        <v>238.2</v>
      </c>
      <c r="D254">
        <v>3</v>
      </c>
      <c r="E254" s="28">
        <v>76.38</v>
      </c>
      <c r="F254">
        <v>116</v>
      </c>
      <c r="G254">
        <v>5.4</v>
      </c>
      <c r="H254">
        <v>1</v>
      </c>
      <c r="I254" t="s">
        <v>33</v>
      </c>
      <c r="J254">
        <v>0</v>
      </c>
      <c r="K254">
        <v>27.8</v>
      </c>
      <c r="L254">
        <v>6.9</v>
      </c>
      <c r="M254" t="s">
        <v>25</v>
      </c>
      <c r="N254" t="s">
        <v>30</v>
      </c>
      <c r="O254">
        <f t="shared" si="12"/>
        <v>1</v>
      </c>
      <c r="P254">
        <f t="shared" si="13"/>
        <v>2</v>
      </c>
      <c r="Q254">
        <f t="shared" si="14"/>
        <v>3</v>
      </c>
      <c r="R254" s="25" t="str">
        <f t="shared" si="15"/>
        <v>123</v>
      </c>
      <c r="S254" t="str" cm="1">
        <f t="array" ref="S254">_xlfn.IFS(AND(O254&gt;=4, P254&gt;=4, Q254&gt;=4), "Champions", AND(O254&gt;=3, P254&gt;=4), "Loyal Customers", AND(O254&gt;=4, P254&lt;=2), "New / Promising", AND(O254&lt;=2, P254&gt;=4), "At Risk Loyalists", AND(Q254&gt;=4, P254&lt;=3), "Big Spenders", AND(O254&lt;=2, P254&lt;=2), "Lost / Dormant", TRUE, "Regular Customers")</f>
        <v>Lost / Dormant</v>
      </c>
      <c r="T254" s="38"/>
    </row>
    <row r="255" spans="1:20" x14ac:dyDescent="0.2">
      <c r="A255" t="s">
        <v>294</v>
      </c>
      <c r="B255" t="s">
        <v>23</v>
      </c>
      <c r="C255" s="28">
        <v>58.08</v>
      </c>
      <c r="D255">
        <v>1</v>
      </c>
      <c r="E255" s="28">
        <v>58.41</v>
      </c>
      <c r="F255">
        <v>101</v>
      </c>
      <c r="G255">
        <v>12.1</v>
      </c>
      <c r="H255">
        <v>3</v>
      </c>
      <c r="I255" t="s">
        <v>33</v>
      </c>
      <c r="J255">
        <v>0</v>
      </c>
      <c r="K255">
        <v>20.3</v>
      </c>
      <c r="L255">
        <v>6.6</v>
      </c>
      <c r="M255" t="s">
        <v>53</v>
      </c>
      <c r="N255" t="s">
        <v>30</v>
      </c>
      <c r="O255">
        <f t="shared" si="12"/>
        <v>1</v>
      </c>
      <c r="P255">
        <f t="shared" si="13"/>
        <v>1</v>
      </c>
      <c r="Q255">
        <f t="shared" si="14"/>
        <v>1</v>
      </c>
      <c r="R255" s="25" t="str">
        <f t="shared" si="15"/>
        <v>111</v>
      </c>
      <c r="S255" t="str" cm="1">
        <f t="array" ref="S255">_xlfn.IFS(AND(O255&gt;=4, P255&gt;=4, Q255&gt;=4), "Champions", AND(O255&gt;=3, P255&gt;=4), "Loyal Customers", AND(O255&gt;=4, P255&lt;=2), "New / Promising", AND(O255&lt;=2, P255&gt;=4), "At Risk Loyalists", AND(Q255&gt;=4, P255&lt;=3), "Big Spenders", AND(O255&lt;=2, P255&lt;=2), "Lost / Dormant", TRUE, "Regular Customers")</f>
        <v>Lost / Dormant</v>
      </c>
      <c r="T255" s="38"/>
    </row>
    <row r="256" spans="1:20" x14ac:dyDescent="0.2">
      <c r="A256" t="s">
        <v>295</v>
      </c>
      <c r="B256" t="s">
        <v>37</v>
      </c>
      <c r="C256" s="28">
        <v>77.94</v>
      </c>
      <c r="D256">
        <v>1</v>
      </c>
      <c r="E256" s="28">
        <v>77.94</v>
      </c>
      <c r="F256">
        <v>148</v>
      </c>
      <c r="G256">
        <v>9.1999999999999993</v>
      </c>
      <c r="H256">
        <v>3</v>
      </c>
      <c r="I256" t="s">
        <v>33</v>
      </c>
      <c r="J256">
        <v>0</v>
      </c>
      <c r="K256">
        <v>12</v>
      </c>
      <c r="L256">
        <v>9.9</v>
      </c>
      <c r="M256" t="s">
        <v>25</v>
      </c>
      <c r="N256" t="s">
        <v>45</v>
      </c>
      <c r="O256">
        <f t="shared" si="12"/>
        <v>1</v>
      </c>
      <c r="P256">
        <f t="shared" si="13"/>
        <v>1</v>
      </c>
      <c r="Q256">
        <f t="shared" si="14"/>
        <v>1</v>
      </c>
      <c r="R256" s="25" t="str">
        <f t="shared" si="15"/>
        <v>111</v>
      </c>
      <c r="S256" t="str" cm="1">
        <f t="array" ref="S256">_xlfn.IFS(AND(O256&gt;=4, P256&gt;=4, Q256&gt;=4), "Champions", AND(O256&gt;=3, P256&gt;=4), "Loyal Customers", AND(O256&gt;=4, P256&lt;=2), "New / Promising", AND(O256&lt;=2, P256&gt;=4), "At Risk Loyalists", AND(Q256&gt;=4, P256&lt;=3), "Big Spenders", AND(O256&lt;=2, P256&lt;=2), "Lost / Dormant", TRUE, "Regular Customers")</f>
        <v>Lost / Dormant</v>
      </c>
      <c r="T256" s="38"/>
    </row>
    <row r="257" spans="1:20" x14ac:dyDescent="0.2">
      <c r="A257" t="s">
        <v>296</v>
      </c>
      <c r="B257" t="s">
        <v>58</v>
      </c>
      <c r="C257" s="28">
        <v>140.47999999999999</v>
      </c>
      <c r="D257">
        <v>4</v>
      </c>
      <c r="E257" s="28">
        <v>34.979999999999997</v>
      </c>
      <c r="F257">
        <v>132</v>
      </c>
      <c r="G257">
        <v>32.6</v>
      </c>
      <c r="H257">
        <v>2</v>
      </c>
      <c r="I257" t="s">
        <v>33</v>
      </c>
      <c r="J257">
        <v>0</v>
      </c>
      <c r="K257">
        <v>14</v>
      </c>
      <c r="L257">
        <v>8.1</v>
      </c>
      <c r="M257" t="s">
        <v>25</v>
      </c>
      <c r="N257" t="s">
        <v>43</v>
      </c>
      <c r="O257">
        <f t="shared" si="12"/>
        <v>1</v>
      </c>
      <c r="P257">
        <f t="shared" si="13"/>
        <v>3</v>
      </c>
      <c r="Q257">
        <f t="shared" si="14"/>
        <v>2</v>
      </c>
      <c r="R257" s="25" t="str">
        <f t="shared" si="15"/>
        <v>132</v>
      </c>
      <c r="S257" t="str" cm="1">
        <f t="array" ref="S257">_xlfn.IFS(AND(O257&gt;=4, P257&gt;=4, Q257&gt;=4), "Champions", AND(O257&gt;=3, P257&gt;=4), "Loyal Customers", AND(O257&gt;=4, P257&lt;=2), "New / Promising", AND(O257&lt;=2, P257&gt;=4), "At Risk Loyalists", AND(Q257&gt;=4, P257&lt;=3), "Big Spenders", AND(O257&lt;=2, P257&lt;=2), "Lost / Dormant", TRUE, "Regular Customers")</f>
        <v>Regular Customers</v>
      </c>
      <c r="T257" s="38"/>
    </row>
    <row r="258" spans="1:20" x14ac:dyDescent="0.2">
      <c r="A258" t="s">
        <v>297</v>
      </c>
      <c r="B258" t="s">
        <v>28</v>
      </c>
      <c r="C258" s="28">
        <v>689.27</v>
      </c>
      <c r="D258">
        <v>9</v>
      </c>
      <c r="E258" s="28">
        <v>74.98</v>
      </c>
      <c r="F258">
        <v>36</v>
      </c>
      <c r="G258">
        <v>15.8</v>
      </c>
      <c r="H258">
        <v>4</v>
      </c>
      <c r="I258" t="s">
        <v>24</v>
      </c>
      <c r="J258">
        <v>12</v>
      </c>
      <c r="K258">
        <v>63.8</v>
      </c>
      <c r="L258">
        <v>10.3</v>
      </c>
      <c r="M258" t="s">
        <v>25</v>
      </c>
      <c r="N258" t="s">
        <v>26</v>
      </c>
      <c r="O258">
        <f t="shared" si="12"/>
        <v>3</v>
      </c>
      <c r="P258">
        <f t="shared" si="13"/>
        <v>5</v>
      </c>
      <c r="Q258">
        <f t="shared" si="14"/>
        <v>5</v>
      </c>
      <c r="R258" s="25" t="str">
        <f t="shared" si="15"/>
        <v>355</v>
      </c>
      <c r="S258" t="str" cm="1">
        <f t="array" ref="S258">_xlfn.IFS(AND(O258&gt;=4, P258&gt;=4, Q258&gt;=4), "Champions", AND(O258&gt;=3, P258&gt;=4), "Loyal Customers", AND(O258&gt;=4, P258&lt;=2), "New / Promising", AND(O258&lt;=2, P258&gt;=4), "At Risk Loyalists", AND(Q258&gt;=4, P258&lt;=3), "Big Spenders", AND(O258&lt;=2, P258&lt;=2), "Lost / Dormant", TRUE, "Regular Customers")</f>
        <v>Loyal Customers</v>
      </c>
      <c r="T258" s="38"/>
    </row>
    <row r="259" spans="1:20" x14ac:dyDescent="0.2">
      <c r="A259" t="s">
        <v>298</v>
      </c>
      <c r="B259" t="s">
        <v>35</v>
      </c>
      <c r="C259" s="28">
        <v>229.99</v>
      </c>
      <c r="D259">
        <v>4</v>
      </c>
      <c r="E259" s="28">
        <v>58.41</v>
      </c>
      <c r="F259">
        <v>56</v>
      </c>
      <c r="G259">
        <v>17</v>
      </c>
      <c r="H259">
        <v>5</v>
      </c>
      <c r="I259" t="s">
        <v>24</v>
      </c>
      <c r="J259">
        <v>13</v>
      </c>
      <c r="K259">
        <v>40.4</v>
      </c>
      <c r="L259">
        <v>14.4</v>
      </c>
      <c r="M259" t="s">
        <v>39</v>
      </c>
      <c r="N259" t="s">
        <v>26</v>
      </c>
      <c r="O259">
        <f t="shared" ref="O259:O301" si="16">IF(F259&lt;=_xlfn.PERCENTILE.INC($F$2:$F$301,0.2), 5,
 IF(F259&lt;=_xlfn.PERCENTILE.INC($F$2:$F$301,0.4), 4,
 IF(F259&lt;=_xlfn.PERCENTILE.INC($F$2:$F$301,0.6), 3,
 IF(F259&lt;=_xlfn.PERCENTILE.INC($F$2:$F$301,0.8), 2, 1))))</f>
        <v>2</v>
      </c>
      <c r="P259">
        <f t="shared" ref="P259:P301" si="17">IF(D259&gt;=_xlfn.PERCENTILE.INC($D$2:$D$301,0.8), 5,
 IF(D259&gt;=_xlfn.PERCENTILE.INC($D$2:$D$301,0.6), 4,
 IF(D259&gt;=_xlfn.PERCENTILE.INC($D$2:$D$301,0.4), 3,
 IF(D259&gt;=_xlfn.PERCENTILE.INC($D$2:$D$301,0.2), 2, 1))))</f>
        <v>3</v>
      </c>
      <c r="Q259">
        <f t="shared" ref="Q259:Q301" si="18">IF(C259&gt;=_xlfn.PERCENTILE.INC($C$2:$C$301,0.8), 5,
 IF(C259&gt;=_xlfn.PERCENTILE.INC($C$2:$C$301,0.6), 4,
 IF(C259&gt;=_xlfn.PERCENTILE.INC($C$2:$C$301,0.4), 3,
 IF(C259&gt;=_xlfn.PERCENTILE.INC($C$2:$C$301,0.2), 2, 1))))</f>
        <v>3</v>
      </c>
      <c r="R259" s="25" t="str">
        <f t="shared" ref="R259:R301" si="19">O259&amp;P259&amp;Q259</f>
        <v>233</v>
      </c>
      <c r="S259" t="str" cm="1">
        <f t="array" ref="S259">_xlfn.IFS(AND(O259&gt;=4, P259&gt;=4, Q259&gt;=4), "Champions", AND(O259&gt;=3, P259&gt;=4), "Loyal Customers", AND(O259&gt;=4, P259&lt;=2), "New / Promising", AND(O259&lt;=2, P259&gt;=4), "At Risk Loyalists", AND(Q259&gt;=4, P259&lt;=3), "Big Spenders", AND(O259&lt;=2, P259&lt;=2), "Lost / Dormant", TRUE, "Regular Customers")</f>
        <v>Regular Customers</v>
      </c>
      <c r="T259" s="38"/>
    </row>
    <row r="260" spans="1:20" x14ac:dyDescent="0.2">
      <c r="A260" t="s">
        <v>299</v>
      </c>
      <c r="B260" t="s">
        <v>58</v>
      </c>
      <c r="C260" s="28">
        <v>361.25</v>
      </c>
      <c r="D260">
        <v>6</v>
      </c>
      <c r="E260" s="28">
        <v>64.489999999999995</v>
      </c>
      <c r="F260">
        <v>59</v>
      </c>
      <c r="G260">
        <v>16.8</v>
      </c>
      <c r="H260">
        <v>6</v>
      </c>
      <c r="I260" t="s">
        <v>33</v>
      </c>
      <c r="J260">
        <v>0</v>
      </c>
      <c r="K260">
        <v>49.3</v>
      </c>
      <c r="L260">
        <v>16</v>
      </c>
      <c r="M260" t="s">
        <v>39</v>
      </c>
      <c r="N260" t="s">
        <v>45</v>
      </c>
      <c r="O260">
        <f t="shared" si="16"/>
        <v>2</v>
      </c>
      <c r="P260">
        <f t="shared" si="17"/>
        <v>4</v>
      </c>
      <c r="Q260">
        <f t="shared" si="18"/>
        <v>4</v>
      </c>
      <c r="R260" s="25" t="str">
        <f t="shared" si="19"/>
        <v>244</v>
      </c>
      <c r="S260" t="str" cm="1">
        <f t="array" ref="S260">_xlfn.IFS(AND(O260&gt;=4, P260&gt;=4, Q260&gt;=4), "Champions", AND(O260&gt;=3, P260&gt;=4), "Loyal Customers", AND(O260&gt;=4, P260&lt;=2), "New / Promising", AND(O260&lt;=2, P260&gt;=4), "At Risk Loyalists", AND(Q260&gt;=4, P260&lt;=3), "Big Spenders", AND(O260&lt;=2, P260&lt;=2), "Lost / Dormant", TRUE, "Regular Customers")</f>
        <v>At Risk Loyalists</v>
      </c>
      <c r="T260" s="38"/>
    </row>
    <row r="261" spans="1:20" x14ac:dyDescent="0.2">
      <c r="A261" t="s">
        <v>300</v>
      </c>
      <c r="B261" t="s">
        <v>37</v>
      </c>
      <c r="C261" s="28">
        <v>659.54</v>
      </c>
      <c r="D261">
        <v>13</v>
      </c>
      <c r="E261" s="28">
        <v>50.48</v>
      </c>
      <c r="F261">
        <v>5</v>
      </c>
      <c r="G261">
        <v>17.3</v>
      </c>
      <c r="H261">
        <v>5</v>
      </c>
      <c r="I261" t="s">
        <v>24</v>
      </c>
      <c r="J261">
        <v>10</v>
      </c>
      <c r="K261">
        <v>48.6</v>
      </c>
      <c r="L261">
        <v>15.8</v>
      </c>
      <c r="M261" t="s">
        <v>25</v>
      </c>
      <c r="N261" t="s">
        <v>30</v>
      </c>
      <c r="O261">
        <f t="shared" si="16"/>
        <v>5</v>
      </c>
      <c r="P261">
        <f t="shared" si="17"/>
        <v>5</v>
      </c>
      <c r="Q261">
        <f t="shared" si="18"/>
        <v>5</v>
      </c>
      <c r="R261" s="25" t="str">
        <f t="shared" si="19"/>
        <v>555</v>
      </c>
      <c r="S261" t="str" cm="1">
        <f t="array" ref="S261">_xlfn.IFS(AND(O261&gt;=4, P261&gt;=4, Q261&gt;=4), "Champions", AND(O261&gt;=3, P261&gt;=4), "Loyal Customers", AND(O261&gt;=4, P261&lt;=2), "New / Promising", AND(O261&lt;=2, P261&gt;=4), "At Risk Loyalists", AND(Q261&gt;=4, P261&lt;=3), "Big Spenders", AND(O261&lt;=2, P261&lt;=2), "Lost / Dormant", TRUE, "Regular Customers")</f>
        <v>Champions</v>
      </c>
      <c r="T261" s="38"/>
    </row>
    <row r="262" spans="1:20" x14ac:dyDescent="0.2">
      <c r="A262" t="s">
        <v>301</v>
      </c>
      <c r="B262" t="s">
        <v>35</v>
      </c>
      <c r="C262" s="28">
        <v>354.82</v>
      </c>
      <c r="D262">
        <v>5</v>
      </c>
      <c r="E262" s="28">
        <v>69.489999999999995</v>
      </c>
      <c r="F262">
        <v>13</v>
      </c>
      <c r="G262">
        <v>29.4</v>
      </c>
      <c r="H262">
        <v>3</v>
      </c>
      <c r="I262" t="s">
        <v>24</v>
      </c>
      <c r="J262">
        <v>11</v>
      </c>
      <c r="K262">
        <v>59.4</v>
      </c>
      <c r="L262">
        <v>9</v>
      </c>
      <c r="M262" t="s">
        <v>47</v>
      </c>
      <c r="N262" t="s">
        <v>30</v>
      </c>
      <c r="O262">
        <f t="shared" si="16"/>
        <v>5</v>
      </c>
      <c r="P262">
        <f t="shared" si="17"/>
        <v>3</v>
      </c>
      <c r="Q262">
        <f t="shared" si="18"/>
        <v>4</v>
      </c>
      <c r="R262" s="25" t="str">
        <f t="shared" si="19"/>
        <v>534</v>
      </c>
      <c r="S262" t="str" cm="1">
        <f t="array" ref="S262">_xlfn.IFS(AND(O262&gt;=4, P262&gt;=4, Q262&gt;=4), "Champions", AND(O262&gt;=3, P262&gt;=4), "Loyal Customers", AND(O262&gt;=4, P262&lt;=2), "New / Promising", AND(O262&lt;=2, P262&gt;=4), "At Risk Loyalists", AND(Q262&gt;=4, P262&lt;=3), "Big Spenders", AND(O262&lt;=2, P262&lt;=2), "Lost / Dormant", TRUE, "Regular Customers")</f>
        <v>Big Spenders</v>
      </c>
      <c r="T262" s="38"/>
    </row>
    <row r="263" spans="1:20" x14ac:dyDescent="0.2">
      <c r="A263" t="s">
        <v>302</v>
      </c>
      <c r="B263" t="s">
        <v>28</v>
      </c>
      <c r="C263" s="28">
        <v>538.29</v>
      </c>
      <c r="D263">
        <v>7</v>
      </c>
      <c r="E263" s="28">
        <v>74.17</v>
      </c>
      <c r="F263">
        <v>37</v>
      </c>
      <c r="G263">
        <v>5.8</v>
      </c>
      <c r="H263">
        <v>5</v>
      </c>
      <c r="I263" t="s">
        <v>33</v>
      </c>
      <c r="J263">
        <v>0</v>
      </c>
      <c r="K263">
        <v>56</v>
      </c>
      <c r="L263">
        <v>21.4</v>
      </c>
      <c r="M263" t="s">
        <v>39</v>
      </c>
      <c r="N263" t="s">
        <v>43</v>
      </c>
      <c r="O263">
        <f t="shared" si="16"/>
        <v>3</v>
      </c>
      <c r="P263">
        <f t="shared" si="17"/>
        <v>5</v>
      </c>
      <c r="Q263">
        <f t="shared" si="18"/>
        <v>5</v>
      </c>
      <c r="R263" s="25" t="str">
        <f t="shared" si="19"/>
        <v>355</v>
      </c>
      <c r="S263" t="str" cm="1">
        <f t="array" ref="S263">_xlfn.IFS(AND(O263&gt;=4, P263&gt;=4, Q263&gt;=4), "Champions", AND(O263&gt;=3, P263&gt;=4), "Loyal Customers", AND(O263&gt;=4, P263&lt;=2), "New / Promising", AND(O263&lt;=2, P263&gt;=4), "At Risk Loyalists", AND(Q263&gt;=4, P263&lt;=3), "Big Spenders", AND(O263&lt;=2, P263&lt;=2), "Lost / Dormant", TRUE, "Regular Customers")</f>
        <v>Loyal Customers</v>
      </c>
      <c r="T263" s="38"/>
    </row>
    <row r="264" spans="1:20" x14ac:dyDescent="0.2">
      <c r="A264" t="s">
        <v>303</v>
      </c>
      <c r="B264" t="s">
        <v>37</v>
      </c>
      <c r="C264" s="28">
        <v>137.69</v>
      </c>
      <c r="D264">
        <v>3</v>
      </c>
      <c r="E264" s="28">
        <v>45.6</v>
      </c>
      <c r="F264">
        <v>19</v>
      </c>
      <c r="G264">
        <v>73</v>
      </c>
      <c r="H264">
        <v>2</v>
      </c>
      <c r="I264" t="s">
        <v>24</v>
      </c>
      <c r="J264">
        <v>7</v>
      </c>
      <c r="K264">
        <v>63.5</v>
      </c>
      <c r="L264">
        <v>7.4</v>
      </c>
      <c r="M264" t="s">
        <v>39</v>
      </c>
      <c r="N264" t="s">
        <v>26</v>
      </c>
      <c r="O264">
        <f t="shared" si="16"/>
        <v>5</v>
      </c>
      <c r="P264">
        <f t="shared" si="17"/>
        <v>2</v>
      </c>
      <c r="Q264">
        <f t="shared" si="18"/>
        <v>2</v>
      </c>
      <c r="R264" s="25" t="str">
        <f t="shared" si="19"/>
        <v>522</v>
      </c>
      <c r="S264" t="str" cm="1">
        <f t="array" ref="S264">_xlfn.IFS(AND(O264&gt;=4, P264&gt;=4, Q264&gt;=4), "Champions", AND(O264&gt;=3, P264&gt;=4), "Loyal Customers", AND(O264&gt;=4, P264&lt;=2), "New / Promising", AND(O264&lt;=2, P264&gt;=4), "At Risk Loyalists", AND(Q264&gt;=4, P264&lt;=3), "Big Spenders", AND(O264&lt;=2, P264&lt;=2), "Lost / Dormant", TRUE, "Regular Customers")</f>
        <v>New / Promising</v>
      </c>
      <c r="T264" s="38"/>
    </row>
    <row r="265" spans="1:20" x14ac:dyDescent="0.2">
      <c r="A265" t="s">
        <v>304</v>
      </c>
      <c r="B265" t="s">
        <v>58</v>
      </c>
      <c r="C265" s="28">
        <v>127.2</v>
      </c>
      <c r="D265">
        <v>3</v>
      </c>
      <c r="E265" s="28">
        <v>44.15</v>
      </c>
      <c r="F265">
        <v>151</v>
      </c>
      <c r="G265">
        <v>6.5</v>
      </c>
      <c r="H265">
        <v>3</v>
      </c>
      <c r="I265" t="s">
        <v>24</v>
      </c>
      <c r="J265">
        <v>3</v>
      </c>
      <c r="K265">
        <v>37.799999999999997</v>
      </c>
      <c r="L265">
        <v>4.9000000000000004</v>
      </c>
      <c r="M265" t="s">
        <v>39</v>
      </c>
      <c r="N265" t="s">
        <v>26</v>
      </c>
      <c r="O265">
        <f t="shared" si="16"/>
        <v>1</v>
      </c>
      <c r="P265">
        <f t="shared" si="17"/>
        <v>2</v>
      </c>
      <c r="Q265">
        <f t="shared" si="18"/>
        <v>1</v>
      </c>
      <c r="R265" s="25" t="str">
        <f t="shared" si="19"/>
        <v>121</v>
      </c>
      <c r="S265" t="str" cm="1">
        <f t="array" ref="S265">_xlfn.IFS(AND(O265&gt;=4, P265&gt;=4, Q265&gt;=4), "Champions", AND(O265&gt;=3, P265&gt;=4), "Loyal Customers", AND(O265&gt;=4, P265&lt;=2), "New / Promising", AND(O265&lt;=2, P265&gt;=4), "At Risk Loyalists", AND(Q265&gt;=4, P265&lt;=3), "Big Spenders", AND(O265&lt;=2, P265&lt;=2), "Lost / Dormant", TRUE, "Regular Customers")</f>
        <v>Lost / Dormant</v>
      </c>
      <c r="T265" s="38"/>
    </row>
    <row r="266" spans="1:20" x14ac:dyDescent="0.2">
      <c r="A266" t="s">
        <v>305</v>
      </c>
      <c r="B266" t="s">
        <v>32</v>
      </c>
      <c r="C266" s="28">
        <v>513.48</v>
      </c>
      <c r="D266">
        <v>9</v>
      </c>
      <c r="E266" s="28">
        <v>56.54</v>
      </c>
      <c r="F266">
        <v>30</v>
      </c>
      <c r="G266">
        <v>21.5</v>
      </c>
      <c r="H266">
        <v>5</v>
      </c>
      <c r="I266" t="s">
        <v>24</v>
      </c>
      <c r="J266">
        <v>6</v>
      </c>
      <c r="K266">
        <v>63.2</v>
      </c>
      <c r="L266">
        <v>11.4</v>
      </c>
      <c r="M266" t="s">
        <v>39</v>
      </c>
      <c r="N266" t="s">
        <v>43</v>
      </c>
      <c r="O266">
        <f t="shared" si="16"/>
        <v>4</v>
      </c>
      <c r="P266">
        <f t="shared" si="17"/>
        <v>5</v>
      </c>
      <c r="Q266">
        <f t="shared" si="18"/>
        <v>5</v>
      </c>
      <c r="R266" s="25" t="str">
        <f t="shared" si="19"/>
        <v>455</v>
      </c>
      <c r="S266" t="str" cm="1">
        <f t="array" ref="S266">_xlfn.IFS(AND(O266&gt;=4, P266&gt;=4, Q266&gt;=4), "Champions", AND(O266&gt;=3, P266&gt;=4), "Loyal Customers", AND(O266&gt;=4, P266&lt;=2), "New / Promising", AND(O266&lt;=2, P266&gt;=4), "At Risk Loyalists", AND(Q266&gt;=4, P266&lt;=3), "Big Spenders", AND(O266&lt;=2, P266&lt;=2), "Lost / Dormant", TRUE, "Regular Customers")</f>
        <v>Champions</v>
      </c>
      <c r="T266" s="38"/>
    </row>
    <row r="267" spans="1:20" x14ac:dyDescent="0.2">
      <c r="A267" t="s">
        <v>306</v>
      </c>
      <c r="B267" t="s">
        <v>32</v>
      </c>
      <c r="C267" s="28">
        <v>358.19</v>
      </c>
      <c r="D267">
        <v>6</v>
      </c>
      <c r="E267" s="28">
        <v>55.82</v>
      </c>
      <c r="F267">
        <v>57</v>
      </c>
      <c r="G267">
        <v>15.7</v>
      </c>
      <c r="H267">
        <v>4</v>
      </c>
      <c r="I267" t="s">
        <v>33</v>
      </c>
      <c r="J267">
        <v>0</v>
      </c>
      <c r="K267">
        <v>64.3</v>
      </c>
      <c r="L267">
        <v>1.7</v>
      </c>
      <c r="M267" t="s">
        <v>39</v>
      </c>
      <c r="N267" t="s">
        <v>30</v>
      </c>
      <c r="O267">
        <f t="shared" si="16"/>
        <v>2</v>
      </c>
      <c r="P267">
        <f t="shared" si="17"/>
        <v>4</v>
      </c>
      <c r="Q267">
        <f t="shared" si="18"/>
        <v>4</v>
      </c>
      <c r="R267" s="25" t="str">
        <f t="shared" si="19"/>
        <v>244</v>
      </c>
      <c r="S267" t="str" cm="1">
        <f t="array" ref="S267">_xlfn.IFS(AND(O267&gt;=4, P267&gt;=4, Q267&gt;=4), "Champions", AND(O267&gt;=3, P267&gt;=4), "Loyal Customers", AND(O267&gt;=4, P267&lt;=2), "New / Promising", AND(O267&lt;=2, P267&gt;=4), "At Risk Loyalists", AND(Q267&gt;=4, P267&lt;=3), "Big Spenders", AND(O267&lt;=2, P267&lt;=2), "Lost / Dormant", TRUE, "Regular Customers")</f>
        <v>At Risk Loyalists</v>
      </c>
      <c r="T267" s="38"/>
    </row>
    <row r="268" spans="1:20" x14ac:dyDescent="0.2">
      <c r="A268" t="s">
        <v>307</v>
      </c>
      <c r="B268" t="s">
        <v>35</v>
      </c>
      <c r="C268" s="28">
        <v>109.35</v>
      </c>
      <c r="D268">
        <v>2</v>
      </c>
      <c r="E268" s="28">
        <v>53.33</v>
      </c>
      <c r="F268">
        <v>42</v>
      </c>
      <c r="G268">
        <v>22.6</v>
      </c>
      <c r="H268">
        <v>5</v>
      </c>
      <c r="I268" t="s">
        <v>24</v>
      </c>
      <c r="J268">
        <v>7</v>
      </c>
      <c r="K268">
        <v>43.1</v>
      </c>
      <c r="L268">
        <v>6.7</v>
      </c>
      <c r="M268" t="s">
        <v>25</v>
      </c>
      <c r="N268" t="s">
        <v>43</v>
      </c>
      <c r="O268">
        <f t="shared" si="16"/>
        <v>3</v>
      </c>
      <c r="P268">
        <f t="shared" si="17"/>
        <v>1</v>
      </c>
      <c r="Q268">
        <f t="shared" si="18"/>
        <v>1</v>
      </c>
      <c r="R268" s="25" t="str">
        <f t="shared" si="19"/>
        <v>311</v>
      </c>
      <c r="S268" t="str" cm="1">
        <f t="array" ref="S268">_xlfn.IFS(AND(O268&gt;=4, P268&gt;=4, Q268&gt;=4), "Champions", AND(O268&gt;=3, P268&gt;=4), "Loyal Customers", AND(O268&gt;=4, P268&lt;=2), "New / Promising", AND(O268&lt;=2, P268&gt;=4), "At Risk Loyalists", AND(Q268&gt;=4, P268&lt;=3), "Big Spenders", AND(O268&lt;=2, P268&lt;=2), "Lost / Dormant", TRUE, "Regular Customers")</f>
        <v>Regular Customers</v>
      </c>
      <c r="T268" s="38"/>
    </row>
    <row r="269" spans="1:20" x14ac:dyDescent="0.2">
      <c r="A269" t="s">
        <v>308</v>
      </c>
      <c r="B269" t="s">
        <v>35</v>
      </c>
      <c r="C269" s="28">
        <v>182.84</v>
      </c>
      <c r="D269">
        <v>6</v>
      </c>
      <c r="E269" s="28">
        <v>32.770000000000003</v>
      </c>
      <c r="F269">
        <v>4</v>
      </c>
      <c r="G269">
        <v>27.8</v>
      </c>
      <c r="H269">
        <v>1</v>
      </c>
      <c r="I269" t="s">
        <v>33</v>
      </c>
      <c r="J269">
        <v>0</v>
      </c>
      <c r="K269">
        <v>57.9</v>
      </c>
      <c r="L269">
        <v>6.9</v>
      </c>
      <c r="M269" t="s">
        <v>25</v>
      </c>
      <c r="N269" t="s">
        <v>43</v>
      </c>
      <c r="O269">
        <f t="shared" si="16"/>
        <v>5</v>
      </c>
      <c r="P269">
        <f t="shared" si="17"/>
        <v>4</v>
      </c>
      <c r="Q269">
        <f t="shared" si="18"/>
        <v>2</v>
      </c>
      <c r="R269" s="25" t="str">
        <f t="shared" si="19"/>
        <v>542</v>
      </c>
      <c r="S269" t="str" cm="1">
        <f t="array" ref="S269">_xlfn.IFS(AND(O269&gt;=4, P269&gt;=4, Q269&gt;=4), "Champions", AND(O269&gt;=3, P269&gt;=4), "Loyal Customers", AND(O269&gt;=4, P269&lt;=2), "New / Promising", AND(O269&lt;=2, P269&gt;=4), "At Risk Loyalists", AND(Q269&gt;=4, P269&lt;=3), "Big Spenders", AND(O269&lt;=2, P269&lt;=2), "Lost / Dormant", TRUE, "Regular Customers")</f>
        <v>Loyal Customers</v>
      </c>
      <c r="T269" s="38"/>
    </row>
    <row r="270" spans="1:20" x14ac:dyDescent="0.2">
      <c r="A270" t="s">
        <v>309</v>
      </c>
      <c r="B270" t="s">
        <v>23</v>
      </c>
      <c r="C270" s="28">
        <v>576.33000000000004</v>
      </c>
      <c r="D270">
        <v>8</v>
      </c>
      <c r="E270" s="28">
        <v>73.31</v>
      </c>
      <c r="F270">
        <v>9</v>
      </c>
      <c r="G270">
        <v>11.5</v>
      </c>
      <c r="H270">
        <v>5</v>
      </c>
      <c r="I270" t="s">
        <v>24</v>
      </c>
      <c r="J270">
        <v>19</v>
      </c>
      <c r="K270">
        <v>46</v>
      </c>
      <c r="L270">
        <v>14.2</v>
      </c>
      <c r="M270" t="s">
        <v>53</v>
      </c>
      <c r="N270" t="s">
        <v>40</v>
      </c>
      <c r="O270">
        <f t="shared" si="16"/>
        <v>5</v>
      </c>
      <c r="P270">
        <f t="shared" si="17"/>
        <v>5</v>
      </c>
      <c r="Q270">
        <f t="shared" si="18"/>
        <v>5</v>
      </c>
      <c r="R270" s="25" t="str">
        <f t="shared" si="19"/>
        <v>555</v>
      </c>
      <c r="S270" t="str" cm="1">
        <f t="array" ref="S270">_xlfn.IFS(AND(O270&gt;=4, P270&gt;=4, Q270&gt;=4), "Champions", AND(O270&gt;=3, P270&gt;=4), "Loyal Customers", AND(O270&gt;=4, P270&lt;=2), "New / Promising", AND(O270&lt;=2, P270&gt;=4), "At Risk Loyalists", AND(Q270&gt;=4, P270&lt;=3), "Big Spenders", AND(O270&lt;=2, P270&lt;=2), "Lost / Dormant", TRUE, "Regular Customers")</f>
        <v>Champions</v>
      </c>
      <c r="T270" s="38"/>
    </row>
    <row r="271" spans="1:20" x14ac:dyDescent="0.2">
      <c r="A271" t="s">
        <v>310</v>
      </c>
      <c r="B271" t="s">
        <v>23</v>
      </c>
      <c r="C271" s="28">
        <v>236.17</v>
      </c>
      <c r="D271">
        <v>7</v>
      </c>
      <c r="E271" s="28">
        <v>36.17</v>
      </c>
      <c r="F271">
        <v>63</v>
      </c>
      <c r="G271">
        <v>74</v>
      </c>
      <c r="H271">
        <v>3</v>
      </c>
      <c r="I271" t="s">
        <v>33</v>
      </c>
      <c r="J271">
        <v>0</v>
      </c>
      <c r="K271">
        <v>48.3</v>
      </c>
      <c r="L271">
        <v>10.7</v>
      </c>
      <c r="M271" t="s">
        <v>55</v>
      </c>
      <c r="N271" t="s">
        <v>43</v>
      </c>
      <c r="O271">
        <f t="shared" si="16"/>
        <v>2</v>
      </c>
      <c r="P271">
        <f t="shared" si="17"/>
        <v>5</v>
      </c>
      <c r="Q271">
        <f t="shared" si="18"/>
        <v>3</v>
      </c>
      <c r="R271" s="25" t="str">
        <f t="shared" si="19"/>
        <v>253</v>
      </c>
      <c r="S271" t="str" cm="1">
        <f t="array" ref="S271">_xlfn.IFS(AND(O271&gt;=4, P271&gt;=4, Q271&gt;=4), "Champions", AND(O271&gt;=3, P271&gt;=4), "Loyal Customers", AND(O271&gt;=4, P271&lt;=2), "New / Promising", AND(O271&lt;=2, P271&gt;=4), "At Risk Loyalists", AND(Q271&gt;=4, P271&lt;=3), "Big Spenders", AND(O271&lt;=2, P271&lt;=2), "Lost / Dormant", TRUE, "Regular Customers")</f>
        <v>At Risk Loyalists</v>
      </c>
      <c r="T271" s="38"/>
    </row>
    <row r="272" spans="1:20" x14ac:dyDescent="0.2">
      <c r="A272" t="s">
        <v>311</v>
      </c>
      <c r="B272" t="s">
        <v>32</v>
      </c>
      <c r="C272" s="28">
        <v>265.36</v>
      </c>
      <c r="D272">
        <v>4</v>
      </c>
      <c r="E272" s="28">
        <v>65.34</v>
      </c>
      <c r="F272">
        <v>69</v>
      </c>
      <c r="G272">
        <v>23.4</v>
      </c>
      <c r="H272">
        <v>1</v>
      </c>
      <c r="I272" t="s">
        <v>33</v>
      </c>
      <c r="J272">
        <v>0</v>
      </c>
      <c r="K272">
        <v>20.2</v>
      </c>
      <c r="L272">
        <v>1.6</v>
      </c>
      <c r="M272" t="s">
        <v>29</v>
      </c>
      <c r="N272" t="s">
        <v>30</v>
      </c>
      <c r="O272">
        <f t="shared" si="16"/>
        <v>2</v>
      </c>
      <c r="P272">
        <f t="shared" si="17"/>
        <v>3</v>
      </c>
      <c r="Q272">
        <f t="shared" si="18"/>
        <v>3</v>
      </c>
      <c r="R272" s="25" t="str">
        <f t="shared" si="19"/>
        <v>233</v>
      </c>
      <c r="S272" t="str" cm="1">
        <f t="array" ref="S272">_xlfn.IFS(AND(O272&gt;=4, P272&gt;=4, Q272&gt;=4), "Champions", AND(O272&gt;=3, P272&gt;=4), "Loyal Customers", AND(O272&gt;=4, P272&lt;=2), "New / Promising", AND(O272&lt;=2, P272&gt;=4), "At Risk Loyalists", AND(Q272&gt;=4, P272&lt;=3), "Big Spenders", AND(O272&lt;=2, P272&lt;=2), "Lost / Dormant", TRUE, "Regular Customers")</f>
        <v>Regular Customers</v>
      </c>
      <c r="T272" s="38"/>
    </row>
    <row r="273" spans="1:20" x14ac:dyDescent="0.2">
      <c r="A273" t="s">
        <v>312</v>
      </c>
      <c r="B273" t="s">
        <v>32</v>
      </c>
      <c r="C273" s="28">
        <v>396.9</v>
      </c>
      <c r="D273">
        <v>6</v>
      </c>
      <c r="E273" s="28">
        <v>71.400000000000006</v>
      </c>
      <c r="F273">
        <v>27</v>
      </c>
      <c r="G273">
        <v>48.7</v>
      </c>
      <c r="H273">
        <v>5</v>
      </c>
      <c r="I273" t="s">
        <v>24</v>
      </c>
      <c r="J273">
        <v>9</v>
      </c>
      <c r="K273">
        <v>53.6</v>
      </c>
      <c r="L273">
        <v>8.9</v>
      </c>
      <c r="M273" t="s">
        <v>29</v>
      </c>
      <c r="N273" t="s">
        <v>45</v>
      </c>
      <c r="O273">
        <f t="shared" si="16"/>
        <v>4</v>
      </c>
      <c r="P273">
        <f t="shared" si="17"/>
        <v>4</v>
      </c>
      <c r="Q273">
        <f t="shared" si="18"/>
        <v>4</v>
      </c>
      <c r="R273" s="25" t="str">
        <f t="shared" si="19"/>
        <v>444</v>
      </c>
      <c r="S273" t="str" cm="1">
        <f t="array" ref="S273">_xlfn.IFS(AND(O273&gt;=4, P273&gt;=4, Q273&gt;=4), "Champions", AND(O273&gt;=3, P273&gt;=4), "Loyal Customers", AND(O273&gt;=4, P273&lt;=2), "New / Promising", AND(O273&lt;=2, P273&gt;=4), "At Risk Loyalists", AND(Q273&gt;=4, P273&lt;=3), "Big Spenders", AND(O273&lt;=2, P273&lt;=2), "Lost / Dormant", TRUE, "Regular Customers")</f>
        <v>Champions</v>
      </c>
      <c r="T273" s="38"/>
    </row>
    <row r="274" spans="1:20" x14ac:dyDescent="0.2">
      <c r="A274" t="s">
        <v>313</v>
      </c>
      <c r="B274" t="s">
        <v>32</v>
      </c>
      <c r="C274" s="28">
        <v>69.489999999999995</v>
      </c>
      <c r="D274">
        <v>3</v>
      </c>
      <c r="E274" s="28">
        <v>24.61</v>
      </c>
      <c r="F274">
        <v>145</v>
      </c>
      <c r="G274">
        <v>28.8</v>
      </c>
      <c r="H274">
        <v>1</v>
      </c>
      <c r="I274" t="s">
        <v>33</v>
      </c>
      <c r="J274">
        <v>0</v>
      </c>
      <c r="K274">
        <v>38.4</v>
      </c>
      <c r="L274">
        <v>3.2</v>
      </c>
      <c r="M274" t="s">
        <v>47</v>
      </c>
      <c r="N274" t="s">
        <v>43</v>
      </c>
      <c r="O274">
        <f t="shared" si="16"/>
        <v>1</v>
      </c>
      <c r="P274">
        <f t="shared" si="17"/>
        <v>2</v>
      </c>
      <c r="Q274">
        <f t="shared" si="18"/>
        <v>1</v>
      </c>
      <c r="R274" s="25" t="str">
        <f t="shared" si="19"/>
        <v>121</v>
      </c>
      <c r="S274" t="str" cm="1">
        <f t="array" ref="S274">_xlfn.IFS(AND(O274&gt;=4, P274&gt;=4, Q274&gt;=4), "Champions", AND(O274&gt;=3, P274&gt;=4), "Loyal Customers", AND(O274&gt;=4, P274&lt;=2), "New / Promising", AND(O274&lt;=2, P274&gt;=4), "At Risk Loyalists", AND(Q274&gt;=4, P274&lt;=3), "Big Spenders", AND(O274&lt;=2, P274&lt;=2), "Lost / Dormant", TRUE, "Regular Customers")</f>
        <v>Lost / Dormant</v>
      </c>
      <c r="T274" s="38"/>
    </row>
    <row r="275" spans="1:20" x14ac:dyDescent="0.2">
      <c r="A275" t="s">
        <v>314</v>
      </c>
      <c r="B275" t="s">
        <v>28</v>
      </c>
      <c r="C275" s="28">
        <v>767.46</v>
      </c>
      <c r="D275">
        <v>9</v>
      </c>
      <c r="E275" s="28">
        <v>91.92</v>
      </c>
      <c r="F275">
        <v>17</v>
      </c>
      <c r="G275">
        <v>7</v>
      </c>
      <c r="H275">
        <v>3</v>
      </c>
      <c r="I275" t="s">
        <v>24</v>
      </c>
      <c r="J275">
        <v>11</v>
      </c>
      <c r="K275">
        <v>65.7</v>
      </c>
      <c r="L275">
        <v>14.5</v>
      </c>
      <c r="M275" t="s">
        <v>39</v>
      </c>
      <c r="N275" t="s">
        <v>30</v>
      </c>
      <c r="O275">
        <f t="shared" si="16"/>
        <v>5</v>
      </c>
      <c r="P275">
        <f t="shared" si="17"/>
        <v>5</v>
      </c>
      <c r="Q275">
        <f t="shared" si="18"/>
        <v>5</v>
      </c>
      <c r="R275" s="25" t="str">
        <f t="shared" si="19"/>
        <v>555</v>
      </c>
      <c r="S275" t="str" cm="1">
        <f t="array" ref="S275">_xlfn.IFS(AND(O275&gt;=4, P275&gt;=4, Q275&gt;=4), "Champions", AND(O275&gt;=3, P275&gt;=4), "Loyal Customers", AND(O275&gt;=4, P275&lt;=2), "New / Promising", AND(O275&lt;=2, P275&gt;=4), "At Risk Loyalists", AND(Q275&gt;=4, P275&lt;=3), "Big Spenders", AND(O275&lt;=2, P275&lt;=2), "Lost / Dormant", TRUE, "Regular Customers")</f>
        <v>Champions</v>
      </c>
      <c r="T275" s="38"/>
    </row>
    <row r="276" spans="1:20" x14ac:dyDescent="0.2">
      <c r="A276" t="s">
        <v>315</v>
      </c>
      <c r="B276" t="s">
        <v>58</v>
      </c>
      <c r="C276" s="28">
        <v>61.37</v>
      </c>
      <c r="D276">
        <v>1</v>
      </c>
      <c r="E276" s="28">
        <v>60.11</v>
      </c>
      <c r="F276">
        <v>60</v>
      </c>
      <c r="G276">
        <v>26.2</v>
      </c>
      <c r="H276">
        <v>3</v>
      </c>
      <c r="I276" t="s">
        <v>33</v>
      </c>
      <c r="J276">
        <v>0</v>
      </c>
      <c r="K276">
        <v>32.200000000000003</v>
      </c>
      <c r="L276">
        <v>5.6</v>
      </c>
      <c r="M276" t="s">
        <v>25</v>
      </c>
      <c r="N276" t="s">
        <v>45</v>
      </c>
      <c r="O276">
        <f t="shared" si="16"/>
        <v>2</v>
      </c>
      <c r="P276">
        <f t="shared" si="17"/>
        <v>1</v>
      </c>
      <c r="Q276">
        <f t="shared" si="18"/>
        <v>1</v>
      </c>
      <c r="R276" s="25" t="str">
        <f t="shared" si="19"/>
        <v>211</v>
      </c>
      <c r="S276" t="str" cm="1">
        <f t="array" ref="S276">_xlfn.IFS(AND(O276&gt;=4, P276&gt;=4, Q276&gt;=4), "Champions", AND(O276&gt;=3, P276&gt;=4), "Loyal Customers", AND(O276&gt;=4, P276&lt;=2), "New / Promising", AND(O276&lt;=2, P276&gt;=4), "At Risk Loyalists", AND(Q276&gt;=4, P276&lt;=3), "Big Spenders", AND(O276&lt;=2, P276&lt;=2), "Lost / Dormant", TRUE, "Regular Customers")</f>
        <v>Lost / Dormant</v>
      </c>
      <c r="T276" s="38"/>
    </row>
    <row r="277" spans="1:20" x14ac:dyDescent="0.2">
      <c r="A277" t="s">
        <v>316</v>
      </c>
      <c r="B277" t="s">
        <v>58</v>
      </c>
      <c r="C277" s="28">
        <v>300.64999999999998</v>
      </c>
      <c r="D277">
        <v>6</v>
      </c>
      <c r="E277" s="28">
        <v>52.77</v>
      </c>
      <c r="F277">
        <v>38</v>
      </c>
      <c r="G277">
        <v>54.3</v>
      </c>
      <c r="H277">
        <v>5</v>
      </c>
      <c r="I277" t="s">
        <v>24</v>
      </c>
      <c r="J277">
        <v>8</v>
      </c>
      <c r="K277">
        <v>49</v>
      </c>
      <c r="L277">
        <v>17.7</v>
      </c>
      <c r="M277" t="s">
        <v>25</v>
      </c>
      <c r="N277" t="s">
        <v>40</v>
      </c>
      <c r="O277">
        <f t="shared" si="16"/>
        <v>3</v>
      </c>
      <c r="P277">
        <f t="shared" si="17"/>
        <v>4</v>
      </c>
      <c r="Q277">
        <f t="shared" si="18"/>
        <v>3</v>
      </c>
      <c r="R277" s="25" t="str">
        <f t="shared" si="19"/>
        <v>343</v>
      </c>
      <c r="S277" t="str" cm="1">
        <f t="array" ref="S277">_xlfn.IFS(AND(O277&gt;=4, P277&gt;=4, Q277&gt;=4), "Champions", AND(O277&gt;=3, P277&gt;=4), "Loyal Customers", AND(O277&gt;=4, P277&lt;=2), "New / Promising", AND(O277&lt;=2, P277&gt;=4), "At Risk Loyalists", AND(Q277&gt;=4, P277&lt;=3), "Big Spenders", AND(O277&lt;=2, P277&lt;=2), "Lost / Dormant", TRUE, "Regular Customers")</f>
        <v>Loyal Customers</v>
      </c>
      <c r="T277" s="38"/>
    </row>
    <row r="278" spans="1:20" x14ac:dyDescent="0.2">
      <c r="A278" t="s">
        <v>317</v>
      </c>
      <c r="B278" t="s">
        <v>32</v>
      </c>
      <c r="C278" s="28">
        <v>249.12</v>
      </c>
      <c r="D278">
        <v>5</v>
      </c>
      <c r="E278" s="28">
        <v>52.47</v>
      </c>
      <c r="F278">
        <v>63</v>
      </c>
      <c r="G278">
        <v>27.4</v>
      </c>
      <c r="H278">
        <v>5</v>
      </c>
      <c r="I278" t="s">
        <v>24</v>
      </c>
      <c r="J278">
        <v>4</v>
      </c>
      <c r="K278">
        <v>35.799999999999997</v>
      </c>
      <c r="L278">
        <v>11.9</v>
      </c>
      <c r="M278" t="s">
        <v>47</v>
      </c>
      <c r="N278" t="s">
        <v>26</v>
      </c>
      <c r="O278">
        <f t="shared" si="16"/>
        <v>2</v>
      </c>
      <c r="P278">
        <f t="shared" si="17"/>
        <v>3</v>
      </c>
      <c r="Q278">
        <f t="shared" si="18"/>
        <v>3</v>
      </c>
      <c r="R278" s="25" t="str">
        <f t="shared" si="19"/>
        <v>233</v>
      </c>
      <c r="S278" t="str" cm="1">
        <f t="array" ref="S278">_xlfn.IFS(AND(O278&gt;=4, P278&gt;=4, Q278&gt;=4), "Champions", AND(O278&gt;=3, P278&gt;=4), "Loyal Customers", AND(O278&gt;=4, P278&lt;=2), "New / Promising", AND(O278&lt;=2, P278&gt;=4), "At Risk Loyalists", AND(Q278&gt;=4, P278&lt;=3), "Big Spenders", AND(O278&lt;=2, P278&lt;=2), "Lost / Dormant", TRUE, "Regular Customers")</f>
        <v>Regular Customers</v>
      </c>
      <c r="T278" s="38"/>
    </row>
    <row r="279" spans="1:20" x14ac:dyDescent="0.2">
      <c r="A279" t="s">
        <v>318</v>
      </c>
      <c r="B279" t="s">
        <v>35</v>
      </c>
      <c r="C279" s="28">
        <v>416.52</v>
      </c>
      <c r="D279">
        <v>7</v>
      </c>
      <c r="E279" s="28">
        <v>59.45</v>
      </c>
      <c r="F279">
        <v>17</v>
      </c>
      <c r="G279">
        <v>11.2</v>
      </c>
      <c r="H279">
        <v>1</v>
      </c>
      <c r="I279" t="s">
        <v>24</v>
      </c>
      <c r="J279">
        <v>20</v>
      </c>
      <c r="K279">
        <v>53.6</v>
      </c>
      <c r="L279">
        <v>16.899999999999999</v>
      </c>
      <c r="M279" t="s">
        <v>47</v>
      </c>
      <c r="N279" t="s">
        <v>40</v>
      </c>
      <c r="O279">
        <f t="shared" si="16"/>
        <v>5</v>
      </c>
      <c r="P279">
        <f t="shared" si="17"/>
        <v>5</v>
      </c>
      <c r="Q279">
        <f t="shared" si="18"/>
        <v>4</v>
      </c>
      <c r="R279" s="25" t="str">
        <f t="shared" si="19"/>
        <v>554</v>
      </c>
      <c r="S279" t="str" cm="1">
        <f t="array" ref="S279">_xlfn.IFS(AND(O279&gt;=4, P279&gt;=4, Q279&gt;=4), "Champions", AND(O279&gt;=3, P279&gt;=4), "Loyal Customers", AND(O279&gt;=4, P279&lt;=2), "New / Promising", AND(O279&lt;=2, P279&gt;=4), "At Risk Loyalists", AND(Q279&gt;=4, P279&lt;=3), "Big Spenders", AND(O279&lt;=2, P279&lt;=2), "Lost / Dormant", TRUE, "Regular Customers")</f>
        <v>Champions</v>
      </c>
      <c r="T279" s="38"/>
    </row>
    <row r="280" spans="1:20" x14ac:dyDescent="0.2">
      <c r="A280" t="s">
        <v>319</v>
      </c>
      <c r="B280" t="s">
        <v>35</v>
      </c>
      <c r="C280" s="28">
        <v>559.97</v>
      </c>
      <c r="D280">
        <v>8</v>
      </c>
      <c r="E280" s="28">
        <v>75.08</v>
      </c>
      <c r="F280">
        <v>53</v>
      </c>
      <c r="G280">
        <v>27.6</v>
      </c>
      <c r="H280">
        <v>5</v>
      </c>
      <c r="I280" t="s">
        <v>33</v>
      </c>
      <c r="J280">
        <v>0</v>
      </c>
      <c r="K280">
        <v>34.6</v>
      </c>
      <c r="L280">
        <v>10.6</v>
      </c>
      <c r="M280" t="s">
        <v>25</v>
      </c>
      <c r="N280" t="s">
        <v>43</v>
      </c>
      <c r="O280">
        <f t="shared" si="16"/>
        <v>2</v>
      </c>
      <c r="P280">
        <f t="shared" si="17"/>
        <v>5</v>
      </c>
      <c r="Q280">
        <f t="shared" si="18"/>
        <v>5</v>
      </c>
      <c r="R280" s="25" t="str">
        <f t="shared" si="19"/>
        <v>255</v>
      </c>
      <c r="S280" t="str" cm="1">
        <f t="array" ref="S280">_xlfn.IFS(AND(O280&gt;=4, P280&gt;=4, Q280&gt;=4), "Champions", AND(O280&gt;=3, P280&gt;=4), "Loyal Customers", AND(O280&gt;=4, P280&lt;=2), "New / Promising", AND(O280&lt;=2, P280&gt;=4), "At Risk Loyalists", AND(Q280&gt;=4, P280&lt;=3), "Big Spenders", AND(O280&lt;=2, P280&lt;=2), "Lost / Dormant", TRUE, "Regular Customers")</f>
        <v>At Risk Loyalists</v>
      </c>
      <c r="T280" s="38"/>
    </row>
    <row r="281" spans="1:20" x14ac:dyDescent="0.2">
      <c r="A281" t="s">
        <v>320</v>
      </c>
      <c r="B281" t="s">
        <v>32</v>
      </c>
      <c r="C281" s="28">
        <v>152.46</v>
      </c>
      <c r="D281">
        <v>3</v>
      </c>
      <c r="E281" s="28">
        <v>53.9</v>
      </c>
      <c r="F281">
        <v>142</v>
      </c>
      <c r="G281">
        <v>21.2</v>
      </c>
      <c r="H281">
        <v>1</v>
      </c>
      <c r="I281" t="s">
        <v>33</v>
      </c>
      <c r="J281">
        <v>0</v>
      </c>
      <c r="K281">
        <v>24.6</v>
      </c>
      <c r="L281">
        <v>5.4</v>
      </c>
      <c r="M281" t="s">
        <v>29</v>
      </c>
      <c r="N281" t="s">
        <v>43</v>
      </c>
      <c r="O281">
        <f t="shared" si="16"/>
        <v>1</v>
      </c>
      <c r="P281">
        <f t="shared" si="17"/>
        <v>2</v>
      </c>
      <c r="Q281">
        <f t="shared" si="18"/>
        <v>2</v>
      </c>
      <c r="R281" s="25" t="str">
        <f t="shared" si="19"/>
        <v>122</v>
      </c>
      <c r="S281" t="str" cm="1">
        <f t="array" ref="S281">_xlfn.IFS(AND(O281&gt;=4, P281&gt;=4, Q281&gt;=4), "Champions", AND(O281&gt;=3, P281&gt;=4), "Loyal Customers", AND(O281&gt;=4, P281&lt;=2), "New / Promising", AND(O281&lt;=2, P281&gt;=4), "At Risk Loyalists", AND(Q281&gt;=4, P281&lt;=3), "Big Spenders", AND(O281&lt;=2, P281&lt;=2), "Lost / Dormant", TRUE, "Regular Customers")</f>
        <v>Lost / Dormant</v>
      </c>
      <c r="T281" s="38"/>
    </row>
    <row r="282" spans="1:20" x14ac:dyDescent="0.2">
      <c r="A282" t="s">
        <v>321</v>
      </c>
      <c r="B282" t="s">
        <v>32</v>
      </c>
      <c r="C282" s="28">
        <v>242.87</v>
      </c>
      <c r="D282">
        <v>6</v>
      </c>
      <c r="E282" s="28">
        <v>39.049999999999997</v>
      </c>
      <c r="F282">
        <v>59</v>
      </c>
      <c r="G282">
        <v>37.5</v>
      </c>
      <c r="H282">
        <v>4</v>
      </c>
      <c r="I282" t="s">
        <v>24</v>
      </c>
      <c r="J282">
        <v>1</v>
      </c>
      <c r="K282">
        <v>49.1</v>
      </c>
      <c r="L282">
        <v>15.5</v>
      </c>
      <c r="M282" t="s">
        <v>29</v>
      </c>
      <c r="N282" t="s">
        <v>43</v>
      </c>
      <c r="O282">
        <f t="shared" si="16"/>
        <v>2</v>
      </c>
      <c r="P282">
        <f t="shared" si="17"/>
        <v>4</v>
      </c>
      <c r="Q282">
        <f t="shared" si="18"/>
        <v>3</v>
      </c>
      <c r="R282" s="25" t="str">
        <f t="shared" si="19"/>
        <v>243</v>
      </c>
      <c r="S282" t="str" cm="1">
        <f t="array" ref="S282">_xlfn.IFS(AND(O282&gt;=4, P282&gt;=4, Q282&gt;=4), "Champions", AND(O282&gt;=3, P282&gt;=4), "Loyal Customers", AND(O282&gt;=4, P282&lt;=2), "New / Promising", AND(O282&lt;=2, P282&gt;=4), "At Risk Loyalists", AND(Q282&gt;=4, P282&lt;=3), "Big Spenders", AND(O282&lt;=2, P282&lt;=2), "Lost / Dormant", TRUE, "Regular Customers")</f>
        <v>At Risk Loyalists</v>
      </c>
      <c r="T282" s="38"/>
    </row>
    <row r="283" spans="1:20" x14ac:dyDescent="0.2">
      <c r="A283" t="s">
        <v>322</v>
      </c>
      <c r="B283" t="s">
        <v>23</v>
      </c>
      <c r="C283" s="28">
        <v>124.78</v>
      </c>
      <c r="D283">
        <v>4</v>
      </c>
      <c r="E283" s="28">
        <v>29.22</v>
      </c>
      <c r="F283">
        <v>35</v>
      </c>
      <c r="G283">
        <v>44.1</v>
      </c>
      <c r="H283">
        <v>3</v>
      </c>
      <c r="I283" t="s">
        <v>33</v>
      </c>
      <c r="J283">
        <v>0</v>
      </c>
      <c r="K283">
        <v>32.6</v>
      </c>
      <c r="L283">
        <v>4.4000000000000004</v>
      </c>
      <c r="M283" t="s">
        <v>47</v>
      </c>
      <c r="N283" t="s">
        <v>40</v>
      </c>
      <c r="O283">
        <f t="shared" si="16"/>
        <v>3</v>
      </c>
      <c r="P283">
        <f t="shared" si="17"/>
        <v>3</v>
      </c>
      <c r="Q283">
        <f t="shared" si="18"/>
        <v>1</v>
      </c>
      <c r="R283" s="25" t="str">
        <f t="shared" si="19"/>
        <v>331</v>
      </c>
      <c r="S283" t="str" cm="1">
        <f t="array" ref="S283">_xlfn.IFS(AND(O283&gt;=4, P283&gt;=4, Q283&gt;=4), "Champions", AND(O283&gt;=3, P283&gt;=4), "Loyal Customers", AND(O283&gt;=4, P283&lt;=2), "New / Promising", AND(O283&lt;=2, P283&gt;=4), "At Risk Loyalists", AND(Q283&gt;=4, P283&lt;=3), "Big Spenders", AND(O283&lt;=2, P283&lt;=2), "Lost / Dormant", TRUE, "Regular Customers")</f>
        <v>Regular Customers</v>
      </c>
      <c r="T283" s="38"/>
    </row>
    <row r="284" spans="1:20" x14ac:dyDescent="0.2">
      <c r="A284" t="s">
        <v>323</v>
      </c>
      <c r="B284" t="s">
        <v>23</v>
      </c>
      <c r="C284" s="28">
        <v>277.98</v>
      </c>
      <c r="D284">
        <v>5</v>
      </c>
      <c r="E284" s="28">
        <v>52.8</v>
      </c>
      <c r="F284">
        <v>193</v>
      </c>
      <c r="G284">
        <v>18.399999999999999</v>
      </c>
      <c r="H284">
        <v>1</v>
      </c>
      <c r="I284" t="s">
        <v>33</v>
      </c>
      <c r="J284">
        <v>0</v>
      </c>
      <c r="K284">
        <v>26</v>
      </c>
      <c r="L284">
        <v>4</v>
      </c>
      <c r="M284" t="s">
        <v>25</v>
      </c>
      <c r="N284" t="s">
        <v>43</v>
      </c>
      <c r="O284">
        <f t="shared" si="16"/>
        <v>1</v>
      </c>
      <c r="P284">
        <f t="shared" si="17"/>
        <v>3</v>
      </c>
      <c r="Q284">
        <f t="shared" si="18"/>
        <v>3</v>
      </c>
      <c r="R284" s="25" t="str">
        <f t="shared" si="19"/>
        <v>133</v>
      </c>
      <c r="S284" t="str" cm="1">
        <f t="array" ref="S284">_xlfn.IFS(AND(O284&gt;=4, P284&gt;=4, Q284&gt;=4), "Champions", AND(O284&gt;=3, P284&gt;=4), "Loyal Customers", AND(O284&gt;=4, P284&lt;=2), "New / Promising", AND(O284&lt;=2, P284&gt;=4), "At Risk Loyalists", AND(Q284&gt;=4, P284&lt;=3), "Big Spenders", AND(O284&lt;=2, P284&lt;=2), "Lost / Dormant", TRUE, "Regular Customers")</f>
        <v>Regular Customers</v>
      </c>
      <c r="T284" s="38"/>
    </row>
    <row r="285" spans="1:20" x14ac:dyDescent="0.2">
      <c r="A285" t="s">
        <v>324</v>
      </c>
      <c r="B285" t="s">
        <v>37</v>
      </c>
      <c r="C285" s="28">
        <v>138.66</v>
      </c>
      <c r="D285">
        <v>3</v>
      </c>
      <c r="E285" s="28">
        <v>45.65</v>
      </c>
      <c r="F285">
        <v>33</v>
      </c>
      <c r="G285">
        <v>29.2</v>
      </c>
      <c r="H285">
        <v>5</v>
      </c>
      <c r="I285" t="s">
        <v>24</v>
      </c>
      <c r="J285">
        <v>6</v>
      </c>
      <c r="K285">
        <v>42.5</v>
      </c>
      <c r="L285">
        <v>21</v>
      </c>
      <c r="M285" t="s">
        <v>25</v>
      </c>
      <c r="N285" t="s">
        <v>43</v>
      </c>
      <c r="O285">
        <f t="shared" si="16"/>
        <v>3</v>
      </c>
      <c r="P285">
        <f t="shared" si="17"/>
        <v>2</v>
      </c>
      <c r="Q285">
        <f t="shared" si="18"/>
        <v>2</v>
      </c>
      <c r="R285" s="25" t="str">
        <f t="shared" si="19"/>
        <v>322</v>
      </c>
      <c r="S285" t="str" cm="1">
        <f t="array" ref="S285">_xlfn.IFS(AND(O285&gt;=4, P285&gt;=4, Q285&gt;=4), "Champions", AND(O285&gt;=3, P285&gt;=4), "Loyal Customers", AND(O285&gt;=4, P285&lt;=2), "New / Promising", AND(O285&lt;=2, P285&gt;=4), "At Risk Loyalists", AND(Q285&gt;=4, P285&lt;=3), "Big Spenders", AND(O285&lt;=2, P285&lt;=2), "Lost / Dormant", TRUE, "Regular Customers")</f>
        <v>Regular Customers</v>
      </c>
      <c r="T285" s="38"/>
    </row>
    <row r="286" spans="1:20" x14ac:dyDescent="0.2">
      <c r="A286" t="s">
        <v>325</v>
      </c>
      <c r="B286" t="s">
        <v>58</v>
      </c>
      <c r="C286" s="28">
        <v>578.20000000000005</v>
      </c>
      <c r="D286">
        <v>8</v>
      </c>
      <c r="E286" s="28">
        <v>76.75</v>
      </c>
      <c r="F286">
        <v>29</v>
      </c>
      <c r="G286">
        <v>7.2</v>
      </c>
      <c r="H286">
        <v>5</v>
      </c>
      <c r="I286" t="s">
        <v>24</v>
      </c>
      <c r="J286">
        <v>3</v>
      </c>
      <c r="K286">
        <v>57.9</v>
      </c>
      <c r="L286">
        <v>16</v>
      </c>
      <c r="M286" t="s">
        <v>47</v>
      </c>
      <c r="N286" t="s">
        <v>30</v>
      </c>
      <c r="O286">
        <f t="shared" si="16"/>
        <v>4</v>
      </c>
      <c r="P286">
        <f t="shared" si="17"/>
        <v>5</v>
      </c>
      <c r="Q286">
        <f t="shared" si="18"/>
        <v>5</v>
      </c>
      <c r="R286" s="25" t="str">
        <f t="shared" si="19"/>
        <v>455</v>
      </c>
      <c r="S286" t="str" cm="1">
        <f t="array" ref="S286">_xlfn.IFS(AND(O286&gt;=4, P286&gt;=4, Q286&gt;=4), "Champions", AND(O286&gt;=3, P286&gt;=4), "Loyal Customers", AND(O286&gt;=4, P286&lt;=2), "New / Promising", AND(O286&lt;=2, P286&gt;=4), "At Risk Loyalists", AND(Q286&gt;=4, P286&lt;=3), "Big Spenders", AND(O286&lt;=2, P286&lt;=2), "Lost / Dormant", TRUE, "Regular Customers")</f>
        <v>Champions</v>
      </c>
      <c r="T286" s="38"/>
    </row>
    <row r="287" spans="1:20" x14ac:dyDescent="0.2">
      <c r="A287" t="s">
        <v>326</v>
      </c>
      <c r="B287" t="s">
        <v>37</v>
      </c>
      <c r="C287" s="28">
        <v>220.62</v>
      </c>
      <c r="D287">
        <v>3</v>
      </c>
      <c r="E287" s="28">
        <v>72.66</v>
      </c>
      <c r="F287">
        <v>13</v>
      </c>
      <c r="G287">
        <v>20.2</v>
      </c>
      <c r="H287">
        <v>4</v>
      </c>
      <c r="I287" t="s">
        <v>24</v>
      </c>
      <c r="J287">
        <v>14</v>
      </c>
      <c r="K287">
        <v>59.4</v>
      </c>
      <c r="L287">
        <v>4.3</v>
      </c>
      <c r="M287" t="s">
        <v>25</v>
      </c>
      <c r="N287" t="s">
        <v>43</v>
      </c>
      <c r="O287">
        <f t="shared" si="16"/>
        <v>5</v>
      </c>
      <c r="P287">
        <f t="shared" si="17"/>
        <v>2</v>
      </c>
      <c r="Q287">
        <f t="shared" si="18"/>
        <v>3</v>
      </c>
      <c r="R287" s="25" t="str">
        <f t="shared" si="19"/>
        <v>523</v>
      </c>
      <c r="S287" t="str" cm="1">
        <f t="array" ref="S287">_xlfn.IFS(AND(O287&gt;=4, P287&gt;=4, Q287&gt;=4), "Champions", AND(O287&gt;=3, P287&gt;=4), "Loyal Customers", AND(O287&gt;=4, P287&lt;=2), "New / Promising", AND(O287&lt;=2, P287&gt;=4), "At Risk Loyalists", AND(Q287&gt;=4, P287&lt;=3), "Big Spenders", AND(O287&lt;=2, P287&lt;=2), "Lost / Dormant", TRUE, "Regular Customers")</f>
        <v>New / Promising</v>
      </c>
      <c r="T287" s="38"/>
    </row>
    <row r="288" spans="1:20" x14ac:dyDescent="0.2">
      <c r="A288" t="s">
        <v>327</v>
      </c>
      <c r="B288" t="s">
        <v>58</v>
      </c>
      <c r="C288" s="28">
        <v>81.08</v>
      </c>
      <c r="D288">
        <v>2</v>
      </c>
      <c r="E288" s="28">
        <v>40.130000000000003</v>
      </c>
      <c r="F288">
        <v>211</v>
      </c>
      <c r="G288">
        <v>43</v>
      </c>
      <c r="H288">
        <v>2</v>
      </c>
      <c r="I288" t="s">
        <v>24</v>
      </c>
      <c r="J288">
        <v>1</v>
      </c>
      <c r="K288">
        <v>31.6</v>
      </c>
      <c r="L288">
        <v>3.1</v>
      </c>
      <c r="M288" t="s">
        <v>47</v>
      </c>
      <c r="N288" t="s">
        <v>26</v>
      </c>
      <c r="O288">
        <f t="shared" si="16"/>
        <v>1</v>
      </c>
      <c r="P288">
        <f t="shared" si="17"/>
        <v>1</v>
      </c>
      <c r="Q288">
        <f t="shared" si="18"/>
        <v>1</v>
      </c>
      <c r="R288" s="25" t="str">
        <f t="shared" si="19"/>
        <v>111</v>
      </c>
      <c r="S288" t="str" cm="1">
        <f t="array" ref="S288">_xlfn.IFS(AND(O288&gt;=4, P288&gt;=4, Q288&gt;=4), "Champions", AND(O288&gt;=3, P288&gt;=4), "Loyal Customers", AND(O288&gt;=4, P288&lt;=2), "New / Promising", AND(O288&lt;=2, P288&gt;=4), "At Risk Loyalists", AND(Q288&gt;=4, P288&lt;=3), "Big Spenders", AND(O288&lt;=2, P288&lt;=2), "Lost / Dormant", TRUE, "Regular Customers")</f>
        <v>Lost / Dormant</v>
      </c>
      <c r="T288" s="38"/>
    </row>
    <row r="289" spans="1:20" x14ac:dyDescent="0.2">
      <c r="A289" t="s">
        <v>328</v>
      </c>
      <c r="B289" t="s">
        <v>58</v>
      </c>
      <c r="C289" s="28">
        <v>543.9</v>
      </c>
      <c r="D289">
        <v>9</v>
      </c>
      <c r="E289" s="28">
        <v>61.23</v>
      </c>
      <c r="F289">
        <v>27</v>
      </c>
      <c r="G289">
        <v>20.3</v>
      </c>
      <c r="H289">
        <v>4</v>
      </c>
      <c r="I289" t="s">
        <v>24</v>
      </c>
      <c r="J289">
        <v>17</v>
      </c>
      <c r="K289">
        <v>51.2</v>
      </c>
      <c r="L289">
        <v>12.9</v>
      </c>
      <c r="M289" t="s">
        <v>29</v>
      </c>
      <c r="N289" t="s">
        <v>26</v>
      </c>
      <c r="O289">
        <f t="shared" si="16"/>
        <v>4</v>
      </c>
      <c r="P289">
        <f t="shared" si="17"/>
        <v>5</v>
      </c>
      <c r="Q289">
        <f t="shared" si="18"/>
        <v>5</v>
      </c>
      <c r="R289" s="25" t="str">
        <f t="shared" si="19"/>
        <v>455</v>
      </c>
      <c r="S289" t="str" cm="1">
        <f t="array" ref="S289">_xlfn.IFS(AND(O289&gt;=4, P289&gt;=4, Q289&gt;=4), "Champions", AND(O289&gt;=3, P289&gt;=4), "Loyal Customers", AND(O289&gt;=4, P289&lt;=2), "New / Promising", AND(O289&lt;=2, P289&gt;=4), "At Risk Loyalists", AND(Q289&gt;=4, P289&lt;=3), "Big Spenders", AND(O289&lt;=2, P289&lt;=2), "Lost / Dormant", TRUE, "Regular Customers")</f>
        <v>Champions</v>
      </c>
      <c r="T289" s="38"/>
    </row>
    <row r="290" spans="1:20" x14ac:dyDescent="0.2">
      <c r="A290" t="s">
        <v>329</v>
      </c>
      <c r="B290" t="s">
        <v>23</v>
      </c>
      <c r="C290" s="28">
        <v>380.05</v>
      </c>
      <c r="D290">
        <v>6</v>
      </c>
      <c r="E290" s="28">
        <v>62.09</v>
      </c>
      <c r="F290">
        <v>39</v>
      </c>
      <c r="G290">
        <v>25.9</v>
      </c>
      <c r="H290">
        <v>3</v>
      </c>
      <c r="I290" t="s">
        <v>24</v>
      </c>
      <c r="J290">
        <v>6</v>
      </c>
      <c r="K290">
        <v>29.1</v>
      </c>
      <c r="L290">
        <v>9.8000000000000007</v>
      </c>
      <c r="M290" t="s">
        <v>25</v>
      </c>
      <c r="N290" t="s">
        <v>26</v>
      </c>
      <c r="O290">
        <f t="shared" si="16"/>
        <v>3</v>
      </c>
      <c r="P290">
        <f t="shared" si="17"/>
        <v>4</v>
      </c>
      <c r="Q290">
        <f t="shared" si="18"/>
        <v>4</v>
      </c>
      <c r="R290" s="25" t="str">
        <f t="shared" si="19"/>
        <v>344</v>
      </c>
      <c r="S290" t="str" cm="1">
        <f t="array" ref="S290">_xlfn.IFS(AND(O290&gt;=4, P290&gt;=4, Q290&gt;=4), "Champions", AND(O290&gt;=3, P290&gt;=4), "Loyal Customers", AND(O290&gt;=4, P290&lt;=2), "New / Promising", AND(O290&lt;=2, P290&gt;=4), "At Risk Loyalists", AND(Q290&gt;=4, P290&lt;=3), "Big Spenders", AND(O290&lt;=2, P290&lt;=2), "Lost / Dormant", TRUE, "Regular Customers")</f>
        <v>Loyal Customers</v>
      </c>
      <c r="T290" s="38"/>
    </row>
    <row r="291" spans="1:20" x14ac:dyDescent="0.2">
      <c r="A291" t="s">
        <v>330</v>
      </c>
      <c r="B291" t="s">
        <v>35</v>
      </c>
      <c r="C291" s="28">
        <v>68.55</v>
      </c>
      <c r="D291">
        <v>1</v>
      </c>
      <c r="E291" s="28">
        <v>69.34</v>
      </c>
      <c r="F291">
        <v>142</v>
      </c>
      <c r="G291">
        <v>31.6</v>
      </c>
      <c r="H291">
        <v>2</v>
      </c>
      <c r="I291" t="s">
        <v>33</v>
      </c>
      <c r="J291">
        <v>0</v>
      </c>
      <c r="K291">
        <v>30.6</v>
      </c>
      <c r="L291">
        <v>8.8000000000000007</v>
      </c>
      <c r="M291" t="s">
        <v>29</v>
      </c>
      <c r="N291" t="s">
        <v>26</v>
      </c>
      <c r="O291">
        <f t="shared" si="16"/>
        <v>1</v>
      </c>
      <c r="P291">
        <f t="shared" si="17"/>
        <v>1</v>
      </c>
      <c r="Q291">
        <f t="shared" si="18"/>
        <v>1</v>
      </c>
      <c r="R291" s="25" t="str">
        <f t="shared" si="19"/>
        <v>111</v>
      </c>
      <c r="S291" t="str" cm="1">
        <f t="array" ref="S291">_xlfn.IFS(AND(O291&gt;=4, P291&gt;=4, Q291&gt;=4), "Champions", AND(O291&gt;=3, P291&gt;=4), "Loyal Customers", AND(O291&gt;=4, P291&lt;=2), "New / Promising", AND(O291&lt;=2, P291&gt;=4), "At Risk Loyalists", AND(Q291&gt;=4, P291&lt;=3), "Big Spenders", AND(O291&lt;=2, P291&lt;=2), "Lost / Dormant", TRUE, "Regular Customers")</f>
        <v>Lost / Dormant</v>
      </c>
      <c r="T291" s="38"/>
    </row>
    <row r="292" spans="1:20" x14ac:dyDescent="0.2">
      <c r="A292" t="s">
        <v>331</v>
      </c>
      <c r="B292" t="s">
        <v>37</v>
      </c>
      <c r="C292" s="28">
        <v>610.13</v>
      </c>
      <c r="D292">
        <v>8</v>
      </c>
      <c r="E292" s="28">
        <v>75.209999999999994</v>
      </c>
      <c r="F292">
        <v>8</v>
      </c>
      <c r="G292">
        <v>13.2</v>
      </c>
      <c r="H292">
        <v>4</v>
      </c>
      <c r="I292" t="s">
        <v>24</v>
      </c>
      <c r="J292">
        <v>9</v>
      </c>
      <c r="K292">
        <v>47</v>
      </c>
      <c r="L292">
        <v>18.600000000000001</v>
      </c>
      <c r="M292" t="s">
        <v>47</v>
      </c>
      <c r="N292" t="s">
        <v>26</v>
      </c>
      <c r="O292">
        <f t="shared" si="16"/>
        <v>5</v>
      </c>
      <c r="P292">
        <f t="shared" si="17"/>
        <v>5</v>
      </c>
      <c r="Q292">
        <f t="shared" si="18"/>
        <v>5</v>
      </c>
      <c r="R292" s="25" t="str">
        <f t="shared" si="19"/>
        <v>555</v>
      </c>
      <c r="S292" t="str" cm="1">
        <f t="array" ref="S292">_xlfn.IFS(AND(O292&gt;=4, P292&gt;=4, Q292&gt;=4), "Champions", AND(O292&gt;=3, P292&gt;=4), "Loyal Customers", AND(O292&gt;=4, P292&lt;=2), "New / Promising", AND(O292&lt;=2, P292&gt;=4), "At Risk Loyalists", AND(Q292&gt;=4, P292&lt;=3), "Big Spenders", AND(O292&lt;=2, P292&lt;=2), "Lost / Dormant", TRUE, "Regular Customers")</f>
        <v>Champions</v>
      </c>
      <c r="T292" s="38"/>
    </row>
    <row r="293" spans="1:20" x14ac:dyDescent="0.2">
      <c r="A293" t="s">
        <v>332</v>
      </c>
      <c r="B293" t="s">
        <v>37</v>
      </c>
      <c r="C293" s="28">
        <v>81.94</v>
      </c>
      <c r="D293">
        <v>1</v>
      </c>
      <c r="E293" s="28">
        <v>78.040000000000006</v>
      </c>
      <c r="F293">
        <v>143</v>
      </c>
      <c r="G293">
        <v>9.8000000000000007</v>
      </c>
      <c r="H293">
        <v>1</v>
      </c>
      <c r="I293" t="s">
        <v>33</v>
      </c>
      <c r="J293">
        <v>0</v>
      </c>
      <c r="K293">
        <v>16.2</v>
      </c>
      <c r="L293">
        <v>0.3</v>
      </c>
      <c r="M293" t="s">
        <v>53</v>
      </c>
      <c r="N293" t="s">
        <v>30</v>
      </c>
      <c r="O293">
        <f t="shared" si="16"/>
        <v>1</v>
      </c>
      <c r="P293">
        <f t="shared" si="17"/>
        <v>1</v>
      </c>
      <c r="Q293">
        <f t="shared" si="18"/>
        <v>1</v>
      </c>
      <c r="R293" s="25" t="str">
        <f t="shared" si="19"/>
        <v>111</v>
      </c>
      <c r="S293" t="str" cm="1">
        <f t="array" ref="S293">_xlfn.IFS(AND(O293&gt;=4, P293&gt;=4, Q293&gt;=4), "Champions", AND(O293&gt;=3, P293&gt;=4), "Loyal Customers", AND(O293&gt;=4, P293&lt;=2), "New / Promising", AND(O293&lt;=2, P293&gt;=4), "At Risk Loyalists", AND(Q293&gt;=4, P293&lt;=3), "Big Spenders", AND(O293&lt;=2, P293&lt;=2), "Lost / Dormant", TRUE, "Regular Customers")</f>
        <v>Lost / Dormant</v>
      </c>
      <c r="T293" s="38"/>
    </row>
    <row r="294" spans="1:20" x14ac:dyDescent="0.2">
      <c r="A294" t="s">
        <v>333</v>
      </c>
      <c r="B294" t="s">
        <v>32</v>
      </c>
      <c r="C294" s="28">
        <v>347.64</v>
      </c>
      <c r="D294">
        <v>8</v>
      </c>
      <c r="E294" s="28">
        <v>46.83</v>
      </c>
      <c r="F294">
        <v>10</v>
      </c>
      <c r="G294">
        <v>75.599999999999994</v>
      </c>
      <c r="H294">
        <v>4</v>
      </c>
      <c r="I294" t="s">
        <v>33</v>
      </c>
      <c r="J294">
        <v>0</v>
      </c>
      <c r="K294">
        <v>49.5</v>
      </c>
      <c r="L294">
        <v>12.6</v>
      </c>
      <c r="M294" t="s">
        <v>53</v>
      </c>
      <c r="N294" t="s">
        <v>43</v>
      </c>
      <c r="O294">
        <f t="shared" si="16"/>
        <v>5</v>
      </c>
      <c r="P294">
        <f t="shared" si="17"/>
        <v>5</v>
      </c>
      <c r="Q294">
        <f t="shared" si="18"/>
        <v>4</v>
      </c>
      <c r="R294" s="25" t="str">
        <f t="shared" si="19"/>
        <v>554</v>
      </c>
      <c r="S294" t="str" cm="1">
        <f t="array" ref="S294">_xlfn.IFS(AND(O294&gt;=4, P294&gt;=4, Q294&gt;=4), "Champions", AND(O294&gt;=3, P294&gt;=4), "Loyal Customers", AND(O294&gt;=4, P294&lt;=2), "New / Promising", AND(O294&lt;=2, P294&gt;=4), "At Risk Loyalists", AND(Q294&gt;=4, P294&lt;=3), "Big Spenders", AND(O294&lt;=2, P294&lt;=2), "Lost / Dormant", TRUE, "Regular Customers")</f>
        <v>Champions</v>
      </c>
      <c r="T294" s="38"/>
    </row>
    <row r="295" spans="1:20" x14ac:dyDescent="0.2">
      <c r="A295" t="s">
        <v>334</v>
      </c>
      <c r="B295" t="s">
        <v>23</v>
      </c>
      <c r="C295" s="28">
        <v>121.37</v>
      </c>
      <c r="D295">
        <v>2</v>
      </c>
      <c r="E295" s="28">
        <v>59.03</v>
      </c>
      <c r="F295">
        <v>102</v>
      </c>
      <c r="G295">
        <v>19.7</v>
      </c>
      <c r="H295">
        <v>1</v>
      </c>
      <c r="I295" t="s">
        <v>33</v>
      </c>
      <c r="J295">
        <v>0</v>
      </c>
      <c r="K295">
        <v>22</v>
      </c>
      <c r="L295">
        <v>8.5</v>
      </c>
      <c r="M295" t="s">
        <v>29</v>
      </c>
      <c r="N295" t="s">
        <v>43</v>
      </c>
      <c r="O295">
        <f t="shared" si="16"/>
        <v>1</v>
      </c>
      <c r="P295">
        <f t="shared" si="17"/>
        <v>1</v>
      </c>
      <c r="Q295">
        <f t="shared" si="18"/>
        <v>1</v>
      </c>
      <c r="R295" s="25" t="str">
        <f t="shared" si="19"/>
        <v>111</v>
      </c>
      <c r="S295" t="str" cm="1">
        <f t="array" ref="S295">_xlfn.IFS(AND(O295&gt;=4, P295&gt;=4, Q295&gt;=4), "Champions", AND(O295&gt;=3, P295&gt;=4), "Loyal Customers", AND(O295&gt;=4, P295&lt;=2), "New / Promising", AND(O295&lt;=2, P295&gt;=4), "At Risk Loyalists", AND(Q295&gt;=4, P295&lt;=3), "Big Spenders", AND(O295&lt;=2, P295&lt;=2), "Lost / Dormant", TRUE, "Regular Customers")</f>
        <v>Lost / Dormant</v>
      </c>
      <c r="T295" s="38"/>
    </row>
    <row r="296" spans="1:20" x14ac:dyDescent="0.2">
      <c r="A296" t="s">
        <v>335</v>
      </c>
      <c r="B296" t="s">
        <v>37</v>
      </c>
      <c r="C296" s="28">
        <v>558.66999999999996</v>
      </c>
      <c r="D296">
        <v>9</v>
      </c>
      <c r="E296" s="28">
        <v>64.09</v>
      </c>
      <c r="F296">
        <v>36</v>
      </c>
      <c r="G296">
        <v>7.3</v>
      </c>
      <c r="H296">
        <v>2</v>
      </c>
      <c r="I296" t="s">
        <v>33</v>
      </c>
      <c r="J296">
        <v>0</v>
      </c>
      <c r="K296">
        <v>51</v>
      </c>
      <c r="L296">
        <v>18.8</v>
      </c>
      <c r="M296" t="s">
        <v>47</v>
      </c>
      <c r="N296" t="s">
        <v>45</v>
      </c>
      <c r="O296">
        <f t="shared" si="16"/>
        <v>3</v>
      </c>
      <c r="P296">
        <f t="shared" si="17"/>
        <v>5</v>
      </c>
      <c r="Q296">
        <f t="shared" si="18"/>
        <v>5</v>
      </c>
      <c r="R296" s="25" t="str">
        <f t="shared" si="19"/>
        <v>355</v>
      </c>
      <c r="S296" t="str" cm="1">
        <f t="array" ref="S296">_xlfn.IFS(AND(O296&gt;=4, P296&gt;=4, Q296&gt;=4), "Champions", AND(O296&gt;=3, P296&gt;=4), "Loyal Customers", AND(O296&gt;=4, P296&lt;=2), "New / Promising", AND(O296&lt;=2, P296&gt;=4), "At Risk Loyalists", AND(Q296&gt;=4, P296&lt;=3), "Big Spenders", AND(O296&lt;=2, P296&lt;=2), "Lost / Dormant", TRUE, "Regular Customers")</f>
        <v>Loyal Customers</v>
      </c>
      <c r="T296" s="38"/>
    </row>
    <row r="297" spans="1:20" x14ac:dyDescent="0.2">
      <c r="A297" t="s">
        <v>336</v>
      </c>
      <c r="B297" t="s">
        <v>58</v>
      </c>
      <c r="C297" s="28">
        <v>306.11</v>
      </c>
      <c r="D297">
        <v>5</v>
      </c>
      <c r="E297" s="28">
        <v>64.239999999999995</v>
      </c>
      <c r="F297">
        <v>17</v>
      </c>
      <c r="G297">
        <v>33.299999999999997</v>
      </c>
      <c r="H297">
        <v>4</v>
      </c>
      <c r="I297" t="s">
        <v>33</v>
      </c>
      <c r="J297">
        <v>0</v>
      </c>
      <c r="K297">
        <v>53.3</v>
      </c>
      <c r="L297">
        <v>21.1</v>
      </c>
      <c r="M297" t="s">
        <v>25</v>
      </c>
      <c r="N297" t="s">
        <v>43</v>
      </c>
      <c r="O297">
        <f t="shared" si="16"/>
        <v>5</v>
      </c>
      <c r="P297">
        <f t="shared" si="17"/>
        <v>3</v>
      </c>
      <c r="Q297">
        <f t="shared" si="18"/>
        <v>4</v>
      </c>
      <c r="R297" s="25" t="str">
        <f t="shared" si="19"/>
        <v>534</v>
      </c>
      <c r="S297" t="str" cm="1">
        <f t="array" ref="S297">_xlfn.IFS(AND(O297&gt;=4, P297&gt;=4, Q297&gt;=4), "Champions", AND(O297&gt;=3, P297&gt;=4), "Loyal Customers", AND(O297&gt;=4, P297&lt;=2), "New / Promising", AND(O297&lt;=2, P297&gt;=4), "At Risk Loyalists", AND(Q297&gt;=4, P297&lt;=3), "Big Spenders", AND(O297&lt;=2, P297&lt;=2), "Lost / Dormant", TRUE, "Regular Customers")</f>
        <v>Big Spenders</v>
      </c>
      <c r="T297" s="38"/>
    </row>
    <row r="298" spans="1:20" x14ac:dyDescent="0.2">
      <c r="A298" t="s">
        <v>337</v>
      </c>
      <c r="B298" t="s">
        <v>32</v>
      </c>
      <c r="C298" s="28">
        <v>122.14</v>
      </c>
      <c r="D298">
        <v>2</v>
      </c>
      <c r="E298" s="28">
        <v>58.42</v>
      </c>
      <c r="F298">
        <v>17</v>
      </c>
      <c r="G298">
        <v>45</v>
      </c>
      <c r="H298">
        <v>4</v>
      </c>
      <c r="I298" t="s">
        <v>24</v>
      </c>
      <c r="J298">
        <v>10</v>
      </c>
      <c r="K298">
        <v>39.700000000000003</v>
      </c>
      <c r="L298">
        <v>9.8000000000000007</v>
      </c>
      <c r="M298" t="s">
        <v>29</v>
      </c>
      <c r="N298" t="s">
        <v>30</v>
      </c>
      <c r="O298">
        <f t="shared" si="16"/>
        <v>5</v>
      </c>
      <c r="P298">
        <f t="shared" si="17"/>
        <v>1</v>
      </c>
      <c r="Q298">
        <f t="shared" si="18"/>
        <v>1</v>
      </c>
      <c r="R298" s="25" t="str">
        <f t="shared" si="19"/>
        <v>511</v>
      </c>
      <c r="S298" t="str" cm="1">
        <f t="array" ref="S298">_xlfn.IFS(AND(O298&gt;=4, P298&gt;=4, Q298&gt;=4), "Champions", AND(O298&gt;=3, P298&gt;=4), "Loyal Customers", AND(O298&gt;=4, P298&lt;=2), "New / Promising", AND(O298&lt;=2, P298&gt;=4), "At Risk Loyalists", AND(Q298&gt;=4, P298&lt;=3), "Big Spenders", AND(O298&lt;=2, P298&lt;=2), "Lost / Dormant", TRUE, "Regular Customers")</f>
        <v>New / Promising</v>
      </c>
      <c r="T298" s="38"/>
    </row>
    <row r="299" spans="1:20" x14ac:dyDescent="0.2">
      <c r="A299" t="s">
        <v>338</v>
      </c>
      <c r="B299" t="s">
        <v>37</v>
      </c>
      <c r="C299" s="28">
        <v>240.67</v>
      </c>
      <c r="D299">
        <v>4</v>
      </c>
      <c r="E299" s="28">
        <v>64.7</v>
      </c>
      <c r="F299">
        <v>39</v>
      </c>
      <c r="G299">
        <v>30.2</v>
      </c>
      <c r="H299">
        <v>4</v>
      </c>
      <c r="I299" t="s">
        <v>33</v>
      </c>
      <c r="J299">
        <v>0</v>
      </c>
      <c r="K299">
        <v>51.7</v>
      </c>
      <c r="L299">
        <v>5.5</v>
      </c>
      <c r="M299" t="s">
        <v>53</v>
      </c>
      <c r="N299" t="s">
        <v>43</v>
      </c>
      <c r="O299">
        <f t="shared" si="16"/>
        <v>3</v>
      </c>
      <c r="P299">
        <f t="shared" si="17"/>
        <v>3</v>
      </c>
      <c r="Q299">
        <f t="shared" si="18"/>
        <v>3</v>
      </c>
      <c r="R299" s="25" t="str">
        <f t="shared" si="19"/>
        <v>333</v>
      </c>
      <c r="S299" t="str" cm="1">
        <f t="array" ref="S299">_xlfn.IFS(AND(O299&gt;=4, P299&gt;=4, Q299&gt;=4), "Champions", AND(O299&gt;=3, P299&gt;=4), "Loyal Customers", AND(O299&gt;=4, P299&lt;=2), "New / Promising", AND(O299&lt;=2, P299&gt;=4), "At Risk Loyalists", AND(Q299&gt;=4, P299&lt;=3), "Big Spenders", AND(O299&lt;=2, P299&lt;=2), "Lost / Dormant", TRUE, "Regular Customers")</f>
        <v>Regular Customers</v>
      </c>
      <c r="T299" s="38"/>
    </row>
    <row r="300" spans="1:20" x14ac:dyDescent="0.2">
      <c r="A300" t="s">
        <v>339</v>
      </c>
      <c r="B300" t="s">
        <v>35</v>
      </c>
      <c r="C300" s="28">
        <v>45.6</v>
      </c>
      <c r="D300">
        <v>1</v>
      </c>
      <c r="E300" s="28">
        <v>43.12</v>
      </c>
      <c r="F300">
        <v>103</v>
      </c>
      <c r="G300">
        <v>21.6</v>
      </c>
      <c r="H300">
        <v>1</v>
      </c>
      <c r="I300" t="s">
        <v>33</v>
      </c>
      <c r="J300">
        <v>0</v>
      </c>
      <c r="K300">
        <v>19</v>
      </c>
      <c r="L300">
        <v>7.2</v>
      </c>
      <c r="M300" t="s">
        <v>25</v>
      </c>
      <c r="N300" t="s">
        <v>43</v>
      </c>
      <c r="O300">
        <f t="shared" si="16"/>
        <v>1</v>
      </c>
      <c r="P300">
        <f t="shared" si="17"/>
        <v>1</v>
      </c>
      <c r="Q300">
        <f t="shared" si="18"/>
        <v>1</v>
      </c>
      <c r="R300" s="25" t="str">
        <f t="shared" si="19"/>
        <v>111</v>
      </c>
      <c r="S300" t="str" cm="1">
        <f t="array" ref="S300">_xlfn.IFS(AND(O300&gt;=4, P300&gt;=4, Q300&gt;=4), "Champions", AND(O300&gt;=3, P300&gt;=4), "Loyal Customers", AND(O300&gt;=4, P300&lt;=2), "New / Promising", AND(O300&lt;=2, P300&gt;=4), "At Risk Loyalists", AND(Q300&gt;=4, P300&lt;=3), "Big Spenders", AND(O300&lt;=2, P300&lt;=2), "Lost / Dormant", TRUE, "Regular Customers")</f>
        <v>Lost / Dormant</v>
      </c>
      <c r="T300" s="38"/>
    </row>
    <row r="301" spans="1:20" x14ac:dyDescent="0.2">
      <c r="A301" t="s">
        <v>340</v>
      </c>
      <c r="B301" t="s">
        <v>37</v>
      </c>
      <c r="C301" s="28">
        <v>621.11</v>
      </c>
      <c r="D301">
        <v>8</v>
      </c>
      <c r="E301" s="28">
        <v>77.510000000000005</v>
      </c>
      <c r="F301">
        <v>14</v>
      </c>
      <c r="G301">
        <v>14.7</v>
      </c>
      <c r="H301">
        <v>4</v>
      </c>
      <c r="I301" t="s">
        <v>24</v>
      </c>
      <c r="J301">
        <v>13</v>
      </c>
      <c r="K301">
        <v>82.6</v>
      </c>
      <c r="L301">
        <v>16</v>
      </c>
      <c r="M301" t="s">
        <v>25</v>
      </c>
      <c r="N301" t="s">
        <v>26</v>
      </c>
      <c r="O301">
        <f t="shared" si="16"/>
        <v>5</v>
      </c>
      <c r="P301">
        <f t="shared" si="17"/>
        <v>5</v>
      </c>
      <c r="Q301">
        <f t="shared" si="18"/>
        <v>5</v>
      </c>
      <c r="R301" s="25" t="str">
        <f t="shared" si="19"/>
        <v>555</v>
      </c>
      <c r="S301" t="str" cm="1">
        <f t="array" ref="S301">_xlfn.IFS(AND(O301&gt;=4, P301&gt;=4, Q301&gt;=4), "Champions", AND(O301&gt;=3, P301&gt;=4), "Loyal Customers", AND(O301&gt;=4, P301&lt;=2), "New / Promising", AND(O301&lt;=2, P301&gt;=4), "At Risk Loyalists", AND(Q301&gt;=4, P301&lt;=3), "Big Spenders", AND(O301&lt;=2, P301&lt;=2), "Lost / Dormant", TRUE, "Regular Customers")</f>
        <v>Champions</v>
      </c>
      <c r="T301" s="3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4FEE-24D7-F441-BB36-D1ED8DB6E01B}">
  <dimension ref="A3:I11"/>
  <sheetViews>
    <sheetView zoomScale="90" workbookViewId="0">
      <selection activeCell="I24" sqref="I24"/>
    </sheetView>
  </sheetViews>
  <sheetFormatPr baseColWidth="10" defaultRowHeight="15" x14ac:dyDescent="0.2"/>
  <cols>
    <col min="1" max="1" width="15.1640625" bestFit="1" customWidth="1"/>
    <col min="2" max="2" width="28.1640625" bestFit="1" customWidth="1"/>
    <col min="3" max="3" width="29.33203125" bestFit="1" customWidth="1"/>
    <col min="4" max="4" width="31.1640625" bestFit="1" customWidth="1"/>
    <col min="5" max="5" width="30.33203125" bestFit="1" customWidth="1"/>
    <col min="6" max="6" width="30" bestFit="1" customWidth="1"/>
    <col min="7" max="7" width="27" bestFit="1" customWidth="1"/>
    <col min="8" max="8" width="18.1640625" bestFit="1" customWidth="1"/>
    <col min="9" max="9" width="15" bestFit="1" customWidth="1"/>
  </cols>
  <sheetData>
    <row r="3" spans="1:9" x14ac:dyDescent="0.2">
      <c r="A3" s="26" t="s">
        <v>440</v>
      </c>
      <c r="B3" t="s">
        <v>449</v>
      </c>
      <c r="C3" t="s">
        <v>450</v>
      </c>
      <c r="D3" t="s">
        <v>451</v>
      </c>
      <c r="E3" t="s">
        <v>452</v>
      </c>
      <c r="F3" t="s">
        <v>453</v>
      </c>
      <c r="G3" t="s">
        <v>454</v>
      </c>
      <c r="H3" t="s">
        <v>455</v>
      </c>
      <c r="I3" s="30" t="s">
        <v>465</v>
      </c>
    </row>
    <row r="4" spans="1:9" x14ac:dyDescent="0.2">
      <c r="A4" s="27" t="s">
        <v>441</v>
      </c>
      <c r="B4" s="29">
        <v>350.68360000000001</v>
      </c>
      <c r="C4">
        <v>6.88</v>
      </c>
      <c r="D4" s="28">
        <v>50.343199999999989</v>
      </c>
      <c r="E4">
        <v>62.08</v>
      </c>
      <c r="F4" s="33">
        <v>36.788000000000004</v>
      </c>
      <c r="G4" s="33">
        <v>41.815999999999995</v>
      </c>
      <c r="H4">
        <v>25</v>
      </c>
      <c r="I4" s="31">
        <v>0.24</v>
      </c>
    </row>
    <row r="5" spans="1:9" x14ac:dyDescent="0.2">
      <c r="A5" s="27" t="s">
        <v>442</v>
      </c>
      <c r="B5" s="29">
        <v>353.07071428571425</v>
      </c>
      <c r="C5" s="33">
        <v>4.9285714285714288</v>
      </c>
      <c r="D5" s="28">
        <v>72.402857142857144</v>
      </c>
      <c r="E5" s="33">
        <v>25.285714285714285</v>
      </c>
      <c r="F5" s="33">
        <v>17.242857142857144</v>
      </c>
      <c r="G5" s="33">
        <v>55.285714285714278</v>
      </c>
      <c r="H5">
        <v>14</v>
      </c>
      <c r="I5" s="31">
        <v>0.71430000000000005</v>
      </c>
    </row>
    <row r="6" spans="1:9" x14ac:dyDescent="0.2">
      <c r="A6" s="27" t="s">
        <v>443</v>
      </c>
      <c r="B6" s="29">
        <v>539.71142857142843</v>
      </c>
      <c r="C6" s="33">
        <v>7.9857142857142858</v>
      </c>
      <c r="D6" s="28">
        <v>67.608285714285728</v>
      </c>
      <c r="E6" s="33">
        <v>20.042857142857144</v>
      </c>
      <c r="F6" s="33">
        <v>18.621428571428574</v>
      </c>
      <c r="G6" s="33">
        <v>55.638571428571431</v>
      </c>
      <c r="H6">
        <v>70</v>
      </c>
      <c r="I6" s="31">
        <v>0.7</v>
      </c>
    </row>
    <row r="7" spans="1:9" x14ac:dyDescent="0.2">
      <c r="A7" s="27" t="s">
        <v>444</v>
      </c>
      <c r="B7" s="29">
        <v>110.00597014925371</v>
      </c>
      <c r="C7" s="33">
        <v>2.1194029850746268</v>
      </c>
      <c r="D7" s="28">
        <v>52.336716417910445</v>
      </c>
      <c r="E7" s="33">
        <v>132.38805970149255</v>
      </c>
      <c r="F7" s="33">
        <v>21.602985074626865</v>
      </c>
      <c r="G7" s="33">
        <v>25.768656716417912</v>
      </c>
      <c r="H7">
        <v>67</v>
      </c>
      <c r="I7" s="31">
        <v>0.16420000000000001</v>
      </c>
    </row>
    <row r="8" spans="1:9" x14ac:dyDescent="0.2">
      <c r="A8" s="27" t="s">
        <v>445</v>
      </c>
      <c r="B8" s="29">
        <v>407.43971428571439</v>
      </c>
      <c r="C8" s="33">
        <v>7.2571428571428571</v>
      </c>
      <c r="D8" s="28">
        <v>54.487428571428566</v>
      </c>
      <c r="E8" s="33">
        <v>34.085714285714289</v>
      </c>
      <c r="F8" s="33">
        <v>28.739999999999991</v>
      </c>
      <c r="G8" s="33">
        <v>49.362857142857145</v>
      </c>
      <c r="H8">
        <v>35</v>
      </c>
      <c r="I8" s="31">
        <v>0.57140000000000002</v>
      </c>
    </row>
    <row r="9" spans="1:9" x14ac:dyDescent="0.2">
      <c r="A9" s="27" t="s">
        <v>446</v>
      </c>
      <c r="B9" s="29">
        <v>151.1092857142857</v>
      </c>
      <c r="C9" s="33">
        <v>2.5714285714285716</v>
      </c>
      <c r="D9" s="28">
        <v>59.530714285714282</v>
      </c>
      <c r="E9" s="33">
        <v>21.428571428571427</v>
      </c>
      <c r="F9" s="33">
        <v>27.792857142857141</v>
      </c>
      <c r="G9" s="33">
        <v>50.578571428571429</v>
      </c>
      <c r="H9">
        <v>14</v>
      </c>
      <c r="I9" s="31">
        <v>0.35709999999999997</v>
      </c>
    </row>
    <row r="10" spans="1:9" x14ac:dyDescent="0.2">
      <c r="A10" s="27" t="s">
        <v>447</v>
      </c>
      <c r="B10" s="29">
        <v>205.00186666666673</v>
      </c>
      <c r="C10" s="33">
        <v>4.0666666666666664</v>
      </c>
      <c r="D10" s="28">
        <v>51.57279999999998</v>
      </c>
      <c r="E10" s="33">
        <v>54.426666666666669</v>
      </c>
      <c r="F10" s="33">
        <v>32.550666666666672</v>
      </c>
      <c r="G10" s="33">
        <v>40.253333333333337</v>
      </c>
      <c r="H10">
        <v>75</v>
      </c>
      <c r="I10" s="31">
        <v>0.44</v>
      </c>
    </row>
    <row r="11" spans="1:9" x14ac:dyDescent="0.2">
      <c r="A11" s="27" t="s">
        <v>448</v>
      </c>
      <c r="B11" s="28">
        <v>302.03779999999972</v>
      </c>
      <c r="C11" s="33">
        <v>5.1233333333333331</v>
      </c>
      <c r="D11" s="28">
        <v>57.066033333333316</v>
      </c>
      <c r="E11" s="33">
        <v>59.18</v>
      </c>
      <c r="F11" s="33">
        <v>25.827666666666644</v>
      </c>
      <c r="G11" s="33">
        <v>42.984666666666655</v>
      </c>
      <c r="H11">
        <v>300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E973-60B6-1E43-A62B-C77C84C3C3E6}">
  <dimension ref="A1:M121"/>
  <sheetViews>
    <sheetView workbookViewId="0">
      <selection activeCell="P17" sqref="P17"/>
    </sheetView>
  </sheetViews>
  <sheetFormatPr baseColWidth="10" defaultColWidth="8.83203125" defaultRowHeight="15" x14ac:dyDescent="0.2"/>
  <cols>
    <col min="2" max="2" width="9.83203125" bestFit="1" customWidth="1"/>
    <col min="3" max="3" width="14.5" customWidth="1"/>
    <col min="7" max="7" width="10.33203125" customWidth="1"/>
    <col min="8" max="9" width="13.33203125" customWidth="1"/>
    <col min="10" max="10" width="12" customWidth="1"/>
    <col min="12" max="12" width="10.33203125" customWidth="1"/>
    <col min="13" max="13" width="17" customWidth="1"/>
  </cols>
  <sheetData>
    <row r="1" spans="1:13" s="22" customFormat="1" ht="55" customHeight="1" x14ac:dyDescent="0.25">
      <c r="A1" s="21" t="s">
        <v>341</v>
      </c>
      <c r="B1" s="21" t="s">
        <v>342</v>
      </c>
      <c r="C1" s="21" t="s">
        <v>343</v>
      </c>
      <c r="D1" s="21" t="s">
        <v>344</v>
      </c>
      <c r="E1" s="21" t="s">
        <v>345</v>
      </c>
      <c r="F1" s="21" t="s">
        <v>346</v>
      </c>
      <c r="G1" s="21" t="s">
        <v>347</v>
      </c>
      <c r="H1" s="21" t="s">
        <v>348</v>
      </c>
      <c r="I1" s="21" t="s">
        <v>349</v>
      </c>
      <c r="J1" s="21" t="s">
        <v>350</v>
      </c>
      <c r="K1" s="21" t="s">
        <v>351</v>
      </c>
      <c r="L1" s="21" t="s">
        <v>352</v>
      </c>
      <c r="M1" s="21" t="s">
        <v>353</v>
      </c>
    </row>
    <row r="2" spans="1:13" x14ac:dyDescent="0.2">
      <c r="A2" t="s">
        <v>354</v>
      </c>
      <c r="B2" t="s">
        <v>23</v>
      </c>
      <c r="C2">
        <v>166750</v>
      </c>
      <c r="D2">
        <v>5491</v>
      </c>
      <c r="E2">
        <v>3.29</v>
      </c>
      <c r="F2">
        <v>9162.3799999999992</v>
      </c>
      <c r="G2">
        <v>1.67</v>
      </c>
      <c r="H2">
        <v>219</v>
      </c>
      <c r="I2">
        <v>3.99</v>
      </c>
      <c r="J2">
        <v>13178.74</v>
      </c>
      <c r="K2">
        <v>1.44</v>
      </c>
      <c r="L2">
        <v>41.84</v>
      </c>
      <c r="M2">
        <v>219</v>
      </c>
    </row>
    <row r="3" spans="1:13" x14ac:dyDescent="0.2">
      <c r="A3" t="s">
        <v>354</v>
      </c>
      <c r="B3" t="s">
        <v>37</v>
      </c>
      <c r="C3">
        <v>288476</v>
      </c>
      <c r="D3">
        <v>4768</v>
      </c>
      <c r="E3">
        <v>1.65</v>
      </c>
      <c r="F3">
        <v>4387.63</v>
      </c>
      <c r="G3">
        <v>0.92</v>
      </c>
      <c r="H3">
        <v>92</v>
      </c>
      <c r="I3">
        <v>1.93</v>
      </c>
      <c r="J3">
        <v>4831.6400000000003</v>
      </c>
      <c r="K3">
        <v>1.1000000000000001</v>
      </c>
      <c r="L3">
        <v>47.69</v>
      </c>
      <c r="M3">
        <v>92</v>
      </c>
    </row>
    <row r="4" spans="1:13" x14ac:dyDescent="0.2">
      <c r="A4" t="s">
        <v>354</v>
      </c>
      <c r="B4" t="s">
        <v>58</v>
      </c>
      <c r="C4">
        <v>99725</v>
      </c>
      <c r="D4">
        <v>4444</v>
      </c>
      <c r="E4">
        <v>4.46</v>
      </c>
      <c r="F4">
        <v>580.66999999999996</v>
      </c>
      <c r="G4">
        <v>0.13</v>
      </c>
      <c r="H4">
        <v>252</v>
      </c>
      <c r="I4">
        <v>5.67</v>
      </c>
      <c r="J4">
        <v>18091.439999999999</v>
      </c>
      <c r="K4">
        <v>31.16</v>
      </c>
      <c r="L4">
        <v>2.2999999999999998</v>
      </c>
      <c r="M4">
        <v>252</v>
      </c>
    </row>
    <row r="5" spans="1:13" x14ac:dyDescent="0.2">
      <c r="A5" t="s">
        <v>354</v>
      </c>
      <c r="B5" t="s">
        <v>35</v>
      </c>
      <c r="C5">
        <v>127588</v>
      </c>
      <c r="D5">
        <v>1606</v>
      </c>
      <c r="E5">
        <v>1.26</v>
      </c>
      <c r="F5">
        <v>1841.46</v>
      </c>
      <c r="G5">
        <v>1.1499999999999999</v>
      </c>
      <c r="H5">
        <v>35</v>
      </c>
      <c r="I5">
        <v>2.1800000000000002</v>
      </c>
      <c r="J5">
        <v>1979.92</v>
      </c>
      <c r="K5">
        <v>1.08</v>
      </c>
      <c r="L5">
        <v>52.61</v>
      </c>
      <c r="M5">
        <v>35</v>
      </c>
    </row>
    <row r="6" spans="1:13" x14ac:dyDescent="0.2">
      <c r="A6" t="s">
        <v>354</v>
      </c>
      <c r="B6" t="s">
        <v>32</v>
      </c>
      <c r="C6">
        <v>136769</v>
      </c>
      <c r="D6">
        <v>4051</v>
      </c>
      <c r="E6">
        <v>2.96</v>
      </c>
      <c r="F6">
        <v>325.57</v>
      </c>
      <c r="G6">
        <v>0.08</v>
      </c>
      <c r="H6">
        <v>184</v>
      </c>
      <c r="I6">
        <v>4.54</v>
      </c>
      <c r="J6">
        <v>11864.43</v>
      </c>
      <c r="K6">
        <v>36.44</v>
      </c>
      <c r="L6">
        <v>1.77</v>
      </c>
      <c r="M6">
        <v>184</v>
      </c>
    </row>
    <row r="7" spans="1:13" x14ac:dyDescent="0.2">
      <c r="A7" t="s">
        <v>355</v>
      </c>
      <c r="B7" t="s">
        <v>23</v>
      </c>
      <c r="C7">
        <v>177097</v>
      </c>
      <c r="D7">
        <v>6527</v>
      </c>
      <c r="E7">
        <v>3.69</v>
      </c>
      <c r="F7">
        <v>10326.879999999999</v>
      </c>
      <c r="G7">
        <v>1.58</v>
      </c>
      <c r="H7">
        <v>218</v>
      </c>
      <c r="I7">
        <v>3.34</v>
      </c>
      <c r="J7">
        <v>14300.71</v>
      </c>
      <c r="K7">
        <v>1.38</v>
      </c>
      <c r="L7">
        <v>47.37</v>
      </c>
      <c r="M7">
        <v>218</v>
      </c>
    </row>
    <row r="8" spans="1:13" x14ac:dyDescent="0.2">
      <c r="A8" t="s">
        <v>355</v>
      </c>
      <c r="B8" t="s">
        <v>37</v>
      </c>
      <c r="C8">
        <v>276397</v>
      </c>
      <c r="D8">
        <v>4853</v>
      </c>
      <c r="E8">
        <v>1.76</v>
      </c>
      <c r="F8">
        <v>4276.6099999999997</v>
      </c>
      <c r="G8">
        <v>0.88</v>
      </c>
      <c r="H8">
        <v>96</v>
      </c>
      <c r="I8">
        <v>1.98</v>
      </c>
      <c r="J8">
        <v>5054.1400000000003</v>
      </c>
      <c r="K8">
        <v>1.18</v>
      </c>
      <c r="L8">
        <v>44.55</v>
      </c>
      <c r="M8">
        <v>96</v>
      </c>
    </row>
    <row r="9" spans="1:13" x14ac:dyDescent="0.2">
      <c r="A9" t="s">
        <v>355</v>
      </c>
      <c r="B9" t="s">
        <v>58</v>
      </c>
      <c r="C9">
        <v>99798</v>
      </c>
      <c r="D9">
        <v>4238</v>
      </c>
      <c r="E9">
        <v>4.25</v>
      </c>
      <c r="F9">
        <v>551.55999999999995</v>
      </c>
      <c r="G9">
        <v>0.13</v>
      </c>
      <c r="H9">
        <v>278</v>
      </c>
      <c r="I9">
        <v>6.56</v>
      </c>
      <c r="J9">
        <v>19935.28</v>
      </c>
      <c r="K9">
        <v>36.14</v>
      </c>
      <c r="L9">
        <v>1.98</v>
      </c>
      <c r="M9">
        <v>278</v>
      </c>
    </row>
    <row r="10" spans="1:13" x14ac:dyDescent="0.2">
      <c r="A10" t="s">
        <v>355</v>
      </c>
      <c r="B10" t="s">
        <v>35</v>
      </c>
      <c r="C10">
        <v>123461</v>
      </c>
      <c r="D10">
        <v>1619</v>
      </c>
      <c r="E10">
        <v>1.31</v>
      </c>
      <c r="F10">
        <v>2058.56</v>
      </c>
      <c r="G10">
        <v>1.27</v>
      </c>
      <c r="H10">
        <v>29</v>
      </c>
      <c r="I10">
        <v>1.79</v>
      </c>
      <c r="J10">
        <v>1700.78</v>
      </c>
      <c r="K10">
        <v>0.83</v>
      </c>
      <c r="L10">
        <v>70.98</v>
      </c>
      <c r="M10">
        <v>29</v>
      </c>
    </row>
    <row r="11" spans="1:13" x14ac:dyDescent="0.2">
      <c r="A11" t="s">
        <v>355</v>
      </c>
      <c r="B11" t="s">
        <v>32</v>
      </c>
      <c r="C11">
        <v>172463</v>
      </c>
      <c r="D11">
        <v>4396</v>
      </c>
      <c r="E11">
        <v>2.5499999999999998</v>
      </c>
      <c r="F11">
        <v>390.9</v>
      </c>
      <c r="G11">
        <v>0.09</v>
      </c>
      <c r="H11">
        <v>191</v>
      </c>
      <c r="I11">
        <v>4.34</v>
      </c>
      <c r="J11">
        <v>12770.49</v>
      </c>
      <c r="K11">
        <v>32.67</v>
      </c>
      <c r="L11">
        <v>2.0499999999999998</v>
      </c>
      <c r="M11">
        <v>191</v>
      </c>
    </row>
    <row r="12" spans="1:13" x14ac:dyDescent="0.2">
      <c r="A12" t="s">
        <v>356</v>
      </c>
      <c r="B12" t="s">
        <v>23</v>
      </c>
      <c r="C12">
        <v>187671</v>
      </c>
      <c r="D12">
        <v>6091</v>
      </c>
      <c r="E12">
        <v>3.25</v>
      </c>
      <c r="F12">
        <v>10453.629999999999</v>
      </c>
      <c r="G12">
        <v>1.72</v>
      </c>
      <c r="H12">
        <v>210</v>
      </c>
      <c r="I12">
        <v>3.45</v>
      </c>
      <c r="J12">
        <v>13883.56</v>
      </c>
      <c r="K12">
        <v>1.33</v>
      </c>
      <c r="L12">
        <v>49.78</v>
      </c>
      <c r="M12">
        <v>210</v>
      </c>
    </row>
    <row r="13" spans="1:13" x14ac:dyDescent="0.2">
      <c r="A13" t="s">
        <v>356</v>
      </c>
      <c r="B13" t="s">
        <v>37</v>
      </c>
      <c r="C13">
        <v>278698</v>
      </c>
      <c r="D13">
        <v>4409</v>
      </c>
      <c r="E13">
        <v>1.58</v>
      </c>
      <c r="F13">
        <v>3501.07</v>
      </c>
      <c r="G13">
        <v>0.79</v>
      </c>
      <c r="H13">
        <v>81</v>
      </c>
      <c r="I13">
        <v>1.84</v>
      </c>
      <c r="J13">
        <v>4351.4799999999996</v>
      </c>
      <c r="K13">
        <v>1.24</v>
      </c>
      <c r="L13">
        <v>43.22</v>
      </c>
      <c r="M13">
        <v>81</v>
      </c>
    </row>
    <row r="14" spans="1:13" x14ac:dyDescent="0.2">
      <c r="A14" t="s">
        <v>356</v>
      </c>
      <c r="B14" t="s">
        <v>58</v>
      </c>
      <c r="C14">
        <v>95956</v>
      </c>
      <c r="D14">
        <v>4319</v>
      </c>
      <c r="E14">
        <v>4.5</v>
      </c>
      <c r="F14">
        <v>505.69</v>
      </c>
      <c r="G14">
        <v>0.12</v>
      </c>
      <c r="H14">
        <v>273</v>
      </c>
      <c r="I14">
        <v>6.32</v>
      </c>
      <c r="J14">
        <v>18862.88</v>
      </c>
      <c r="K14">
        <v>37.299999999999997</v>
      </c>
      <c r="L14">
        <v>1.85</v>
      </c>
      <c r="M14">
        <v>273</v>
      </c>
    </row>
    <row r="15" spans="1:13" x14ac:dyDescent="0.2">
      <c r="A15" t="s">
        <v>356</v>
      </c>
      <c r="B15" t="s">
        <v>35</v>
      </c>
      <c r="C15">
        <v>142594</v>
      </c>
      <c r="D15">
        <v>1730</v>
      </c>
      <c r="E15">
        <v>1.21</v>
      </c>
      <c r="F15">
        <v>2100.3000000000002</v>
      </c>
      <c r="G15">
        <v>1.21</v>
      </c>
      <c r="H15">
        <v>31</v>
      </c>
      <c r="I15">
        <v>1.79</v>
      </c>
      <c r="J15">
        <v>1973.14</v>
      </c>
      <c r="K15">
        <v>0.94</v>
      </c>
      <c r="L15">
        <v>67.75</v>
      </c>
      <c r="M15">
        <v>31</v>
      </c>
    </row>
    <row r="16" spans="1:13" x14ac:dyDescent="0.2">
      <c r="A16" t="s">
        <v>356</v>
      </c>
      <c r="B16" t="s">
        <v>32</v>
      </c>
      <c r="C16">
        <v>155654</v>
      </c>
      <c r="D16">
        <v>3992</v>
      </c>
      <c r="E16">
        <v>2.56</v>
      </c>
      <c r="F16">
        <v>334.02</v>
      </c>
      <c r="G16">
        <v>0.08</v>
      </c>
      <c r="H16">
        <v>170</v>
      </c>
      <c r="I16">
        <v>4.26</v>
      </c>
      <c r="J16">
        <v>11013.52</v>
      </c>
      <c r="K16">
        <v>32.97</v>
      </c>
      <c r="L16">
        <v>1.96</v>
      </c>
      <c r="M16">
        <v>170</v>
      </c>
    </row>
    <row r="17" spans="1:13" x14ac:dyDescent="0.2">
      <c r="A17" t="s">
        <v>357</v>
      </c>
      <c r="B17" t="s">
        <v>23</v>
      </c>
      <c r="C17">
        <v>196590</v>
      </c>
      <c r="D17">
        <v>7170</v>
      </c>
      <c r="E17">
        <v>3.65</v>
      </c>
      <c r="F17">
        <v>10480.66</v>
      </c>
      <c r="G17">
        <v>1.46</v>
      </c>
      <c r="H17">
        <v>284</v>
      </c>
      <c r="I17">
        <v>3.96</v>
      </c>
      <c r="J17">
        <v>18441.07</v>
      </c>
      <c r="K17">
        <v>1.76</v>
      </c>
      <c r="L17">
        <v>36.9</v>
      </c>
      <c r="M17">
        <v>284</v>
      </c>
    </row>
    <row r="18" spans="1:13" x14ac:dyDescent="0.2">
      <c r="A18" t="s">
        <v>357</v>
      </c>
      <c r="B18" t="s">
        <v>37</v>
      </c>
      <c r="C18">
        <v>283761</v>
      </c>
      <c r="D18">
        <v>4827</v>
      </c>
      <c r="E18">
        <v>1.7</v>
      </c>
      <c r="F18">
        <v>4062.82</v>
      </c>
      <c r="G18">
        <v>0.84</v>
      </c>
      <c r="H18">
        <v>94</v>
      </c>
      <c r="I18">
        <v>1.95</v>
      </c>
      <c r="J18">
        <v>4730.05</v>
      </c>
      <c r="K18">
        <v>1.1599999999999999</v>
      </c>
      <c r="L18">
        <v>43.22</v>
      </c>
      <c r="M18">
        <v>94</v>
      </c>
    </row>
    <row r="19" spans="1:13" x14ac:dyDescent="0.2">
      <c r="A19" t="s">
        <v>357</v>
      </c>
      <c r="B19" t="s">
        <v>58</v>
      </c>
      <c r="C19">
        <v>96088</v>
      </c>
      <c r="D19">
        <v>4557</v>
      </c>
      <c r="E19">
        <v>4.74</v>
      </c>
      <c r="F19">
        <v>611.95000000000005</v>
      </c>
      <c r="G19">
        <v>0.13</v>
      </c>
      <c r="H19">
        <v>281</v>
      </c>
      <c r="I19">
        <v>6.17</v>
      </c>
      <c r="J19">
        <v>20791.490000000002</v>
      </c>
      <c r="K19">
        <v>33.979999999999997</v>
      </c>
      <c r="L19">
        <v>2.1800000000000002</v>
      </c>
      <c r="M19">
        <v>281</v>
      </c>
    </row>
    <row r="20" spans="1:13" x14ac:dyDescent="0.2">
      <c r="A20" t="s">
        <v>357</v>
      </c>
      <c r="B20" t="s">
        <v>35</v>
      </c>
      <c r="C20">
        <v>128819</v>
      </c>
      <c r="D20">
        <v>1409</v>
      </c>
      <c r="E20">
        <v>1.0900000000000001</v>
      </c>
      <c r="F20">
        <v>1597.69</v>
      </c>
      <c r="G20">
        <v>1.1299999999999999</v>
      </c>
      <c r="H20">
        <v>27</v>
      </c>
      <c r="I20">
        <v>1.92</v>
      </c>
      <c r="J20">
        <v>1539.29</v>
      </c>
      <c r="K20">
        <v>0.96</v>
      </c>
      <c r="L20">
        <v>59.17</v>
      </c>
      <c r="M20">
        <v>27</v>
      </c>
    </row>
    <row r="21" spans="1:13" x14ac:dyDescent="0.2">
      <c r="A21" t="s">
        <v>357</v>
      </c>
      <c r="B21" t="s">
        <v>32</v>
      </c>
      <c r="C21">
        <v>148508</v>
      </c>
      <c r="D21">
        <v>4579</v>
      </c>
      <c r="E21">
        <v>3.08</v>
      </c>
      <c r="F21">
        <v>397.7</v>
      </c>
      <c r="G21">
        <v>0.09</v>
      </c>
      <c r="H21">
        <v>202</v>
      </c>
      <c r="I21">
        <v>4.41</v>
      </c>
      <c r="J21">
        <v>12607.03</v>
      </c>
      <c r="K21">
        <v>31.7</v>
      </c>
      <c r="L21">
        <v>1.97</v>
      </c>
      <c r="M21">
        <v>202</v>
      </c>
    </row>
    <row r="22" spans="1:13" x14ac:dyDescent="0.2">
      <c r="A22" t="s">
        <v>358</v>
      </c>
      <c r="B22" t="s">
        <v>23</v>
      </c>
      <c r="C22">
        <v>181208</v>
      </c>
      <c r="D22">
        <v>5636</v>
      </c>
      <c r="E22">
        <v>3.11</v>
      </c>
      <c r="F22">
        <v>9253.7099999999991</v>
      </c>
      <c r="G22">
        <v>1.64</v>
      </c>
      <c r="H22">
        <v>229</v>
      </c>
      <c r="I22">
        <v>4.0599999999999996</v>
      </c>
      <c r="J22">
        <v>14405.01</v>
      </c>
      <c r="K22">
        <v>1.56</v>
      </c>
      <c r="L22">
        <v>40.409999999999997</v>
      </c>
      <c r="M22">
        <v>229</v>
      </c>
    </row>
    <row r="23" spans="1:13" x14ac:dyDescent="0.2">
      <c r="A23" t="s">
        <v>358</v>
      </c>
      <c r="B23" t="s">
        <v>37</v>
      </c>
      <c r="C23">
        <v>261670</v>
      </c>
      <c r="D23">
        <v>4505</v>
      </c>
      <c r="E23">
        <v>1.72</v>
      </c>
      <c r="F23">
        <v>3872.2</v>
      </c>
      <c r="G23">
        <v>0.86</v>
      </c>
      <c r="H23">
        <v>79</v>
      </c>
      <c r="I23">
        <v>1.75</v>
      </c>
      <c r="J23">
        <v>4038.23</v>
      </c>
      <c r="K23">
        <v>1.04</v>
      </c>
      <c r="L23">
        <v>49.02</v>
      </c>
      <c r="M23">
        <v>79</v>
      </c>
    </row>
    <row r="24" spans="1:13" x14ac:dyDescent="0.2">
      <c r="A24" t="s">
        <v>358</v>
      </c>
      <c r="B24" t="s">
        <v>58</v>
      </c>
      <c r="C24">
        <v>103477</v>
      </c>
      <c r="D24">
        <v>4399</v>
      </c>
      <c r="E24">
        <v>4.25</v>
      </c>
      <c r="F24">
        <v>479.23</v>
      </c>
      <c r="G24">
        <v>0.11</v>
      </c>
      <c r="H24">
        <v>313</v>
      </c>
      <c r="I24">
        <v>7.12</v>
      </c>
      <c r="J24">
        <v>20962.810000000001</v>
      </c>
      <c r="K24">
        <v>43.74</v>
      </c>
      <c r="L24">
        <v>1.53</v>
      </c>
      <c r="M24">
        <v>313</v>
      </c>
    </row>
    <row r="25" spans="1:13" x14ac:dyDescent="0.2">
      <c r="A25" t="s">
        <v>358</v>
      </c>
      <c r="B25" t="s">
        <v>35</v>
      </c>
      <c r="C25">
        <v>118897</v>
      </c>
      <c r="D25">
        <v>1343</v>
      </c>
      <c r="E25">
        <v>1.1299999999999999</v>
      </c>
      <c r="F25">
        <v>1464.25</v>
      </c>
      <c r="G25">
        <v>1.0900000000000001</v>
      </c>
      <c r="H25">
        <v>26</v>
      </c>
      <c r="I25">
        <v>1.94</v>
      </c>
      <c r="J25">
        <v>1614.1</v>
      </c>
      <c r="K25">
        <v>1.1000000000000001</v>
      </c>
      <c r="L25">
        <v>56.32</v>
      </c>
      <c r="M25">
        <v>26</v>
      </c>
    </row>
    <row r="26" spans="1:13" x14ac:dyDescent="0.2">
      <c r="A26" t="s">
        <v>358</v>
      </c>
      <c r="B26" t="s">
        <v>32</v>
      </c>
      <c r="C26">
        <v>158927</v>
      </c>
      <c r="D26">
        <v>4439</v>
      </c>
      <c r="E26">
        <v>2.79</v>
      </c>
      <c r="F26">
        <v>372.39</v>
      </c>
      <c r="G26">
        <v>0.08</v>
      </c>
      <c r="H26">
        <v>185</v>
      </c>
      <c r="I26">
        <v>4.17</v>
      </c>
      <c r="J26">
        <v>12777.93</v>
      </c>
      <c r="K26">
        <v>34.31</v>
      </c>
      <c r="L26">
        <v>2.0099999999999998</v>
      </c>
      <c r="M26">
        <v>185</v>
      </c>
    </row>
    <row r="27" spans="1:13" x14ac:dyDescent="0.2">
      <c r="A27" t="s">
        <v>359</v>
      </c>
      <c r="B27" t="s">
        <v>23</v>
      </c>
      <c r="C27">
        <v>206109</v>
      </c>
      <c r="D27">
        <v>6322</v>
      </c>
      <c r="E27">
        <v>3.07</v>
      </c>
      <c r="F27">
        <v>10496.5</v>
      </c>
      <c r="G27">
        <v>1.66</v>
      </c>
      <c r="H27">
        <v>228</v>
      </c>
      <c r="I27">
        <v>3.61</v>
      </c>
      <c r="J27">
        <v>15525.94</v>
      </c>
      <c r="K27">
        <v>1.48</v>
      </c>
      <c r="L27">
        <v>46.04</v>
      </c>
      <c r="M27">
        <v>228</v>
      </c>
    </row>
    <row r="28" spans="1:13" x14ac:dyDescent="0.2">
      <c r="A28" t="s">
        <v>359</v>
      </c>
      <c r="B28" t="s">
        <v>37</v>
      </c>
      <c r="C28">
        <v>274722</v>
      </c>
      <c r="D28">
        <v>5217</v>
      </c>
      <c r="E28">
        <v>1.9</v>
      </c>
      <c r="F28">
        <v>4893.99</v>
      </c>
      <c r="G28">
        <v>0.94</v>
      </c>
      <c r="H28">
        <v>88</v>
      </c>
      <c r="I28">
        <v>1.69</v>
      </c>
      <c r="J28">
        <v>4444.63</v>
      </c>
      <c r="K28">
        <v>0.91</v>
      </c>
      <c r="L28">
        <v>55.61</v>
      </c>
      <c r="M28">
        <v>88</v>
      </c>
    </row>
    <row r="29" spans="1:13" x14ac:dyDescent="0.2">
      <c r="A29" t="s">
        <v>359</v>
      </c>
      <c r="B29" t="s">
        <v>58</v>
      </c>
      <c r="C29">
        <v>105676</v>
      </c>
      <c r="D29">
        <v>5292</v>
      </c>
      <c r="E29">
        <v>5.01</v>
      </c>
      <c r="F29">
        <v>585.14</v>
      </c>
      <c r="G29">
        <v>0.11</v>
      </c>
      <c r="H29">
        <v>351</v>
      </c>
      <c r="I29">
        <v>6.63</v>
      </c>
      <c r="J29">
        <v>23911.84</v>
      </c>
      <c r="K29">
        <v>40.869999999999997</v>
      </c>
      <c r="L29">
        <v>1.67</v>
      </c>
      <c r="M29">
        <v>351</v>
      </c>
    </row>
    <row r="30" spans="1:13" x14ac:dyDescent="0.2">
      <c r="A30" t="s">
        <v>359</v>
      </c>
      <c r="B30" t="s">
        <v>35</v>
      </c>
      <c r="C30">
        <v>113593</v>
      </c>
      <c r="D30">
        <v>1347</v>
      </c>
      <c r="E30">
        <v>1.19</v>
      </c>
      <c r="F30">
        <v>1538.24</v>
      </c>
      <c r="G30">
        <v>1.1399999999999999</v>
      </c>
      <c r="H30">
        <v>29</v>
      </c>
      <c r="I30">
        <v>2.15</v>
      </c>
      <c r="J30">
        <v>1683.01</v>
      </c>
      <c r="K30">
        <v>1.0900000000000001</v>
      </c>
      <c r="L30">
        <v>53.04</v>
      </c>
      <c r="M30">
        <v>29</v>
      </c>
    </row>
    <row r="31" spans="1:13" x14ac:dyDescent="0.2">
      <c r="A31" t="s">
        <v>359</v>
      </c>
      <c r="B31" t="s">
        <v>32</v>
      </c>
      <c r="C31">
        <v>170423</v>
      </c>
      <c r="D31">
        <v>4295</v>
      </c>
      <c r="E31">
        <v>2.52</v>
      </c>
      <c r="F31">
        <v>332.51</v>
      </c>
      <c r="G31">
        <v>0.08</v>
      </c>
      <c r="H31">
        <v>166</v>
      </c>
      <c r="I31">
        <v>3.86</v>
      </c>
      <c r="J31">
        <v>10465.01</v>
      </c>
      <c r="K31">
        <v>31.47</v>
      </c>
      <c r="L31">
        <v>2</v>
      </c>
      <c r="M31">
        <v>166</v>
      </c>
    </row>
    <row r="32" spans="1:13" x14ac:dyDescent="0.2">
      <c r="A32" t="s">
        <v>360</v>
      </c>
      <c r="B32" t="s">
        <v>23</v>
      </c>
      <c r="C32">
        <v>164700</v>
      </c>
      <c r="D32">
        <v>5270</v>
      </c>
      <c r="E32">
        <v>3.2</v>
      </c>
      <c r="F32">
        <v>8350.01</v>
      </c>
      <c r="G32">
        <v>1.58</v>
      </c>
      <c r="H32">
        <v>181</v>
      </c>
      <c r="I32">
        <v>3.43</v>
      </c>
      <c r="J32">
        <v>11363.5</v>
      </c>
      <c r="K32">
        <v>1.36</v>
      </c>
      <c r="L32">
        <v>46.13</v>
      </c>
      <c r="M32">
        <v>181</v>
      </c>
    </row>
    <row r="33" spans="1:13" x14ac:dyDescent="0.2">
      <c r="A33" t="s">
        <v>360</v>
      </c>
      <c r="B33" t="s">
        <v>37</v>
      </c>
      <c r="C33">
        <v>255556</v>
      </c>
      <c r="D33">
        <v>4747</v>
      </c>
      <c r="E33">
        <v>1.86</v>
      </c>
      <c r="F33">
        <v>4591.6099999999997</v>
      </c>
      <c r="G33">
        <v>0.97</v>
      </c>
      <c r="H33">
        <v>86</v>
      </c>
      <c r="I33">
        <v>1.81</v>
      </c>
      <c r="J33">
        <v>4211.99</v>
      </c>
      <c r="K33">
        <v>0.92</v>
      </c>
      <c r="L33">
        <v>53.39</v>
      </c>
      <c r="M33">
        <v>86</v>
      </c>
    </row>
    <row r="34" spans="1:13" x14ac:dyDescent="0.2">
      <c r="A34" t="s">
        <v>360</v>
      </c>
      <c r="B34" t="s">
        <v>58</v>
      </c>
      <c r="C34">
        <v>83114</v>
      </c>
      <c r="D34">
        <v>4242</v>
      </c>
      <c r="E34">
        <v>5.0999999999999996</v>
      </c>
      <c r="F34">
        <v>464.88</v>
      </c>
      <c r="G34">
        <v>0.11</v>
      </c>
      <c r="H34">
        <v>252</v>
      </c>
      <c r="I34">
        <v>5.94</v>
      </c>
      <c r="J34">
        <v>17045.349999999999</v>
      </c>
      <c r="K34">
        <v>36.67</v>
      </c>
      <c r="L34">
        <v>1.84</v>
      </c>
      <c r="M34">
        <v>252</v>
      </c>
    </row>
    <row r="35" spans="1:13" x14ac:dyDescent="0.2">
      <c r="A35" t="s">
        <v>360</v>
      </c>
      <c r="B35" t="s">
        <v>35</v>
      </c>
      <c r="C35">
        <v>116458</v>
      </c>
      <c r="D35">
        <v>1308</v>
      </c>
      <c r="E35">
        <v>1.1200000000000001</v>
      </c>
      <c r="F35">
        <v>1683.08</v>
      </c>
      <c r="G35">
        <v>1.29</v>
      </c>
      <c r="H35">
        <v>23</v>
      </c>
      <c r="I35">
        <v>1.76</v>
      </c>
      <c r="J35">
        <v>1394.34</v>
      </c>
      <c r="K35">
        <v>0.83</v>
      </c>
      <c r="L35">
        <v>73.180000000000007</v>
      </c>
      <c r="M35">
        <v>23</v>
      </c>
    </row>
    <row r="36" spans="1:13" x14ac:dyDescent="0.2">
      <c r="A36" t="s">
        <v>360</v>
      </c>
      <c r="B36" t="s">
        <v>32</v>
      </c>
      <c r="C36">
        <v>139086</v>
      </c>
      <c r="D36">
        <v>3565</v>
      </c>
      <c r="E36">
        <v>2.56</v>
      </c>
      <c r="F36">
        <v>313.74</v>
      </c>
      <c r="G36">
        <v>0.09</v>
      </c>
      <c r="H36">
        <v>136</v>
      </c>
      <c r="I36">
        <v>3.81</v>
      </c>
      <c r="J36">
        <v>9341.02</v>
      </c>
      <c r="K36">
        <v>29.77</v>
      </c>
      <c r="L36">
        <v>2.31</v>
      </c>
      <c r="M36">
        <v>136</v>
      </c>
    </row>
    <row r="37" spans="1:13" x14ac:dyDescent="0.2">
      <c r="A37" t="s">
        <v>361</v>
      </c>
      <c r="B37" t="s">
        <v>23</v>
      </c>
      <c r="C37">
        <v>174389</v>
      </c>
      <c r="D37">
        <v>5437</v>
      </c>
      <c r="E37">
        <v>3.12</v>
      </c>
      <c r="F37">
        <v>9356.0300000000007</v>
      </c>
      <c r="G37">
        <v>1.72</v>
      </c>
      <c r="H37">
        <v>185</v>
      </c>
      <c r="I37">
        <v>3.4</v>
      </c>
      <c r="J37">
        <v>12375.52</v>
      </c>
      <c r="K37">
        <v>1.32</v>
      </c>
      <c r="L37">
        <v>50.57</v>
      </c>
      <c r="M37">
        <v>185</v>
      </c>
    </row>
    <row r="38" spans="1:13" x14ac:dyDescent="0.2">
      <c r="A38" t="s">
        <v>361</v>
      </c>
      <c r="B38" t="s">
        <v>37</v>
      </c>
      <c r="C38">
        <v>231473</v>
      </c>
      <c r="D38">
        <v>4280</v>
      </c>
      <c r="E38">
        <v>1.85</v>
      </c>
      <c r="F38">
        <v>3400.72</v>
      </c>
      <c r="G38">
        <v>0.79</v>
      </c>
      <c r="H38">
        <v>78</v>
      </c>
      <c r="I38">
        <v>1.82</v>
      </c>
      <c r="J38">
        <v>4072.02</v>
      </c>
      <c r="K38">
        <v>1.2</v>
      </c>
      <c r="L38">
        <v>43.6</v>
      </c>
      <c r="M38">
        <v>78</v>
      </c>
    </row>
    <row r="39" spans="1:13" x14ac:dyDescent="0.2">
      <c r="A39" t="s">
        <v>361</v>
      </c>
      <c r="B39" t="s">
        <v>58</v>
      </c>
      <c r="C39">
        <v>94533</v>
      </c>
      <c r="D39">
        <v>4783</v>
      </c>
      <c r="E39">
        <v>5.0599999999999996</v>
      </c>
      <c r="F39">
        <v>620.05999999999995</v>
      </c>
      <c r="G39">
        <v>0.13</v>
      </c>
      <c r="H39">
        <v>332</v>
      </c>
      <c r="I39">
        <v>6.94</v>
      </c>
      <c r="J39">
        <v>22121.84</v>
      </c>
      <c r="K39">
        <v>35.68</v>
      </c>
      <c r="L39">
        <v>1.87</v>
      </c>
      <c r="M39">
        <v>332</v>
      </c>
    </row>
    <row r="40" spans="1:13" x14ac:dyDescent="0.2">
      <c r="A40" t="s">
        <v>361</v>
      </c>
      <c r="B40" t="s">
        <v>35</v>
      </c>
      <c r="C40">
        <v>109727</v>
      </c>
      <c r="D40">
        <v>1268</v>
      </c>
      <c r="E40">
        <v>1.1599999999999999</v>
      </c>
      <c r="F40">
        <v>1495.66</v>
      </c>
      <c r="G40">
        <v>1.18</v>
      </c>
      <c r="H40">
        <v>25</v>
      </c>
      <c r="I40">
        <v>1.97</v>
      </c>
      <c r="J40">
        <v>1495.94</v>
      </c>
      <c r="K40">
        <v>1</v>
      </c>
      <c r="L40">
        <v>59.83</v>
      </c>
      <c r="M40">
        <v>25</v>
      </c>
    </row>
    <row r="41" spans="1:13" x14ac:dyDescent="0.2">
      <c r="A41" t="s">
        <v>361</v>
      </c>
      <c r="B41" t="s">
        <v>32</v>
      </c>
      <c r="C41">
        <v>133262</v>
      </c>
      <c r="D41">
        <v>3925</v>
      </c>
      <c r="E41">
        <v>2.95</v>
      </c>
      <c r="F41">
        <v>294.18</v>
      </c>
      <c r="G41">
        <v>7.0000000000000007E-2</v>
      </c>
      <c r="H41">
        <v>155</v>
      </c>
      <c r="I41">
        <v>3.95</v>
      </c>
      <c r="J41">
        <v>10172.98</v>
      </c>
      <c r="K41">
        <v>34.58</v>
      </c>
      <c r="L41">
        <v>1.9</v>
      </c>
      <c r="M41">
        <v>155</v>
      </c>
    </row>
    <row r="42" spans="1:13" x14ac:dyDescent="0.2">
      <c r="A42" t="s">
        <v>362</v>
      </c>
      <c r="B42" t="s">
        <v>23</v>
      </c>
      <c r="C42">
        <v>176778</v>
      </c>
      <c r="D42">
        <v>6387</v>
      </c>
      <c r="E42">
        <v>3.61</v>
      </c>
      <c r="F42">
        <v>10315.82</v>
      </c>
      <c r="G42">
        <v>1.62</v>
      </c>
      <c r="H42">
        <v>212</v>
      </c>
      <c r="I42">
        <v>3.32</v>
      </c>
      <c r="J42">
        <v>13565.35</v>
      </c>
      <c r="K42">
        <v>1.32</v>
      </c>
      <c r="L42">
        <v>48.66</v>
      </c>
      <c r="M42">
        <v>212</v>
      </c>
    </row>
    <row r="43" spans="1:13" x14ac:dyDescent="0.2">
      <c r="A43" t="s">
        <v>362</v>
      </c>
      <c r="B43" t="s">
        <v>37</v>
      </c>
      <c r="C43">
        <v>218303</v>
      </c>
      <c r="D43">
        <v>3648</v>
      </c>
      <c r="E43">
        <v>1.67</v>
      </c>
      <c r="F43">
        <v>3181.26</v>
      </c>
      <c r="G43">
        <v>0.87</v>
      </c>
      <c r="H43">
        <v>58</v>
      </c>
      <c r="I43">
        <v>1.59</v>
      </c>
      <c r="J43">
        <v>2816.7</v>
      </c>
      <c r="K43">
        <v>0.89</v>
      </c>
      <c r="L43">
        <v>54.85</v>
      </c>
      <c r="M43">
        <v>58</v>
      </c>
    </row>
    <row r="44" spans="1:13" x14ac:dyDescent="0.2">
      <c r="A44" t="s">
        <v>362</v>
      </c>
      <c r="B44" t="s">
        <v>58</v>
      </c>
      <c r="C44">
        <v>91268</v>
      </c>
      <c r="D44">
        <v>4659</v>
      </c>
      <c r="E44">
        <v>5.0999999999999996</v>
      </c>
      <c r="F44">
        <v>546.51</v>
      </c>
      <c r="G44">
        <v>0.12</v>
      </c>
      <c r="H44">
        <v>257</v>
      </c>
      <c r="I44">
        <v>5.52</v>
      </c>
      <c r="J44">
        <v>17071.68</v>
      </c>
      <c r="K44">
        <v>31.24</v>
      </c>
      <c r="L44">
        <v>2.13</v>
      </c>
      <c r="M44">
        <v>257</v>
      </c>
    </row>
    <row r="45" spans="1:13" x14ac:dyDescent="0.2">
      <c r="A45" t="s">
        <v>362</v>
      </c>
      <c r="B45" t="s">
        <v>35</v>
      </c>
      <c r="C45">
        <v>108104</v>
      </c>
      <c r="D45">
        <v>1438</v>
      </c>
      <c r="E45">
        <v>1.33</v>
      </c>
      <c r="F45">
        <v>1606.64</v>
      </c>
      <c r="G45">
        <v>1.1200000000000001</v>
      </c>
      <c r="H45">
        <v>31</v>
      </c>
      <c r="I45">
        <v>2.16</v>
      </c>
      <c r="J45">
        <v>1737.41</v>
      </c>
      <c r="K45">
        <v>1.08</v>
      </c>
      <c r="L45">
        <v>51.83</v>
      </c>
      <c r="M45">
        <v>31</v>
      </c>
    </row>
    <row r="46" spans="1:13" x14ac:dyDescent="0.2">
      <c r="A46" t="s">
        <v>362</v>
      </c>
      <c r="B46" t="s">
        <v>32</v>
      </c>
      <c r="C46">
        <v>152885</v>
      </c>
      <c r="D46">
        <v>4212</v>
      </c>
      <c r="E46">
        <v>2.76</v>
      </c>
      <c r="F46">
        <v>360.73</v>
      </c>
      <c r="G46">
        <v>0.09</v>
      </c>
      <c r="H46">
        <v>167</v>
      </c>
      <c r="I46">
        <v>3.96</v>
      </c>
      <c r="J46">
        <v>11159.88</v>
      </c>
      <c r="K46">
        <v>30.94</v>
      </c>
      <c r="L46">
        <v>2.16</v>
      </c>
      <c r="M46">
        <v>167</v>
      </c>
    </row>
    <row r="47" spans="1:13" x14ac:dyDescent="0.2">
      <c r="A47" t="s">
        <v>363</v>
      </c>
      <c r="B47" t="s">
        <v>23</v>
      </c>
      <c r="C47">
        <v>152643</v>
      </c>
      <c r="D47">
        <v>4837</v>
      </c>
      <c r="E47">
        <v>3.17</v>
      </c>
      <c r="F47">
        <v>8294.8700000000008</v>
      </c>
      <c r="G47">
        <v>1.71</v>
      </c>
      <c r="H47">
        <v>196</v>
      </c>
      <c r="I47">
        <v>4.05</v>
      </c>
      <c r="J47">
        <v>13162.08</v>
      </c>
      <c r="K47">
        <v>1.59</v>
      </c>
      <c r="L47">
        <v>42.32</v>
      </c>
      <c r="M47">
        <v>196</v>
      </c>
    </row>
    <row r="48" spans="1:13" x14ac:dyDescent="0.2">
      <c r="A48" t="s">
        <v>363</v>
      </c>
      <c r="B48" t="s">
        <v>37</v>
      </c>
      <c r="C48">
        <v>242797</v>
      </c>
      <c r="D48">
        <v>4448</v>
      </c>
      <c r="E48">
        <v>1.83</v>
      </c>
      <c r="F48">
        <v>3582.27</v>
      </c>
      <c r="G48">
        <v>0.81</v>
      </c>
      <c r="H48">
        <v>77</v>
      </c>
      <c r="I48">
        <v>1.73</v>
      </c>
      <c r="J48">
        <v>3761.89</v>
      </c>
      <c r="K48">
        <v>1.05</v>
      </c>
      <c r="L48">
        <v>46.52</v>
      </c>
      <c r="M48">
        <v>77</v>
      </c>
    </row>
    <row r="49" spans="1:13" x14ac:dyDescent="0.2">
      <c r="A49" t="s">
        <v>363</v>
      </c>
      <c r="B49" t="s">
        <v>58</v>
      </c>
      <c r="C49">
        <v>84227</v>
      </c>
      <c r="D49">
        <v>3790</v>
      </c>
      <c r="E49">
        <v>4.5</v>
      </c>
      <c r="F49">
        <v>424.18</v>
      </c>
      <c r="G49">
        <v>0.11</v>
      </c>
      <c r="H49">
        <v>244</v>
      </c>
      <c r="I49">
        <v>6.44</v>
      </c>
      <c r="J49">
        <v>17789.240000000002</v>
      </c>
      <c r="K49">
        <v>41.94</v>
      </c>
      <c r="L49">
        <v>1.74</v>
      </c>
      <c r="M49">
        <v>244</v>
      </c>
    </row>
    <row r="50" spans="1:13" x14ac:dyDescent="0.2">
      <c r="A50" t="s">
        <v>363</v>
      </c>
      <c r="B50" t="s">
        <v>35</v>
      </c>
      <c r="C50">
        <v>106279</v>
      </c>
      <c r="D50">
        <v>1184</v>
      </c>
      <c r="E50">
        <v>1.1100000000000001</v>
      </c>
      <c r="F50">
        <v>1340.2</v>
      </c>
      <c r="G50">
        <v>1.1299999999999999</v>
      </c>
      <c r="H50">
        <v>22</v>
      </c>
      <c r="I50">
        <v>1.86</v>
      </c>
      <c r="J50">
        <v>1269.5999999999999</v>
      </c>
      <c r="K50">
        <v>0.95</v>
      </c>
      <c r="L50">
        <v>60.92</v>
      </c>
      <c r="M50">
        <v>22</v>
      </c>
    </row>
    <row r="51" spans="1:13" x14ac:dyDescent="0.2">
      <c r="A51" t="s">
        <v>363</v>
      </c>
      <c r="B51" t="s">
        <v>32</v>
      </c>
      <c r="C51">
        <v>140591</v>
      </c>
      <c r="D51">
        <v>4063</v>
      </c>
      <c r="E51">
        <v>2.89</v>
      </c>
      <c r="F51">
        <v>342.31</v>
      </c>
      <c r="G51">
        <v>0.08</v>
      </c>
      <c r="H51">
        <v>162</v>
      </c>
      <c r="I51">
        <v>3.99</v>
      </c>
      <c r="J51">
        <v>11131.08</v>
      </c>
      <c r="K51">
        <v>32.520000000000003</v>
      </c>
      <c r="L51">
        <v>2.11</v>
      </c>
      <c r="M51">
        <v>162</v>
      </c>
    </row>
    <row r="52" spans="1:13" x14ac:dyDescent="0.2">
      <c r="A52" t="s">
        <v>364</v>
      </c>
      <c r="B52" t="s">
        <v>23</v>
      </c>
      <c r="C52">
        <v>155352</v>
      </c>
      <c r="D52">
        <v>5298</v>
      </c>
      <c r="E52">
        <v>3.41</v>
      </c>
      <c r="F52">
        <v>8837.7000000000007</v>
      </c>
      <c r="G52">
        <v>1.67</v>
      </c>
      <c r="H52">
        <v>177</v>
      </c>
      <c r="I52">
        <v>3.34</v>
      </c>
      <c r="J52">
        <v>10606.15</v>
      </c>
      <c r="K52">
        <v>1.2</v>
      </c>
      <c r="L52">
        <v>49.93</v>
      </c>
      <c r="M52">
        <v>177</v>
      </c>
    </row>
    <row r="53" spans="1:13" x14ac:dyDescent="0.2">
      <c r="A53" t="s">
        <v>364</v>
      </c>
      <c r="B53" t="s">
        <v>37</v>
      </c>
      <c r="C53">
        <v>259904</v>
      </c>
      <c r="D53">
        <v>4309</v>
      </c>
      <c r="E53">
        <v>1.66</v>
      </c>
      <c r="F53">
        <v>3983.23</v>
      </c>
      <c r="G53">
        <v>0.92</v>
      </c>
      <c r="H53">
        <v>68</v>
      </c>
      <c r="I53">
        <v>1.58</v>
      </c>
      <c r="J53">
        <v>3510.29</v>
      </c>
      <c r="K53">
        <v>0.88</v>
      </c>
      <c r="L53">
        <v>58.58</v>
      </c>
      <c r="M53">
        <v>68</v>
      </c>
    </row>
    <row r="54" spans="1:13" x14ac:dyDescent="0.2">
      <c r="A54" t="s">
        <v>364</v>
      </c>
      <c r="B54" t="s">
        <v>58</v>
      </c>
      <c r="C54">
        <v>79701</v>
      </c>
      <c r="D54">
        <v>3344</v>
      </c>
      <c r="E54">
        <v>4.2</v>
      </c>
      <c r="F54">
        <v>414.99</v>
      </c>
      <c r="G54">
        <v>0.12</v>
      </c>
      <c r="H54">
        <v>195</v>
      </c>
      <c r="I54">
        <v>5.83</v>
      </c>
      <c r="J54">
        <v>13366.36</v>
      </c>
      <c r="K54">
        <v>32.21</v>
      </c>
      <c r="L54">
        <v>2.13</v>
      </c>
      <c r="M54">
        <v>195</v>
      </c>
    </row>
    <row r="55" spans="1:13" x14ac:dyDescent="0.2">
      <c r="A55" t="s">
        <v>364</v>
      </c>
      <c r="B55" t="s">
        <v>35</v>
      </c>
      <c r="C55">
        <v>100590</v>
      </c>
      <c r="D55">
        <v>1125</v>
      </c>
      <c r="E55">
        <v>1.1200000000000001</v>
      </c>
      <c r="F55">
        <v>1303.5</v>
      </c>
      <c r="G55">
        <v>1.1599999999999999</v>
      </c>
      <c r="H55">
        <v>20</v>
      </c>
      <c r="I55">
        <v>1.78</v>
      </c>
      <c r="J55">
        <v>1260.48</v>
      </c>
      <c r="K55">
        <v>0.97</v>
      </c>
      <c r="L55">
        <v>65.17</v>
      </c>
      <c r="M55">
        <v>20</v>
      </c>
    </row>
    <row r="56" spans="1:13" x14ac:dyDescent="0.2">
      <c r="A56" t="s">
        <v>364</v>
      </c>
      <c r="B56" t="s">
        <v>32</v>
      </c>
      <c r="C56">
        <v>123490</v>
      </c>
      <c r="D56">
        <v>3480</v>
      </c>
      <c r="E56">
        <v>2.82</v>
      </c>
      <c r="F56">
        <v>258.11</v>
      </c>
      <c r="G56">
        <v>7.0000000000000007E-2</v>
      </c>
      <c r="H56">
        <v>137</v>
      </c>
      <c r="I56">
        <v>3.94</v>
      </c>
      <c r="J56">
        <v>9547.5499999999993</v>
      </c>
      <c r="K56">
        <v>36.99</v>
      </c>
      <c r="L56">
        <v>1.88</v>
      </c>
      <c r="M56">
        <v>137</v>
      </c>
    </row>
    <row r="57" spans="1:13" x14ac:dyDescent="0.2">
      <c r="A57" t="s">
        <v>365</v>
      </c>
      <c r="B57" t="s">
        <v>23</v>
      </c>
      <c r="C57">
        <v>159982</v>
      </c>
      <c r="D57">
        <v>6051</v>
      </c>
      <c r="E57">
        <v>3.78</v>
      </c>
      <c r="F57">
        <v>8865.7800000000007</v>
      </c>
      <c r="G57">
        <v>1.47</v>
      </c>
      <c r="H57">
        <v>235</v>
      </c>
      <c r="I57">
        <v>3.88</v>
      </c>
      <c r="J57">
        <v>15036.26</v>
      </c>
      <c r="K57">
        <v>1.7</v>
      </c>
      <c r="L57">
        <v>37.729999999999997</v>
      </c>
      <c r="M57">
        <v>235</v>
      </c>
    </row>
    <row r="58" spans="1:13" x14ac:dyDescent="0.2">
      <c r="A58" t="s">
        <v>365</v>
      </c>
      <c r="B58" t="s">
        <v>37</v>
      </c>
      <c r="C58">
        <v>270362</v>
      </c>
      <c r="D58">
        <v>4696</v>
      </c>
      <c r="E58">
        <v>1.74</v>
      </c>
      <c r="F58">
        <v>4205.22</v>
      </c>
      <c r="G58">
        <v>0.9</v>
      </c>
      <c r="H58">
        <v>78</v>
      </c>
      <c r="I58">
        <v>1.66</v>
      </c>
      <c r="J58">
        <v>3726.2</v>
      </c>
      <c r="K58">
        <v>0.89</v>
      </c>
      <c r="L58">
        <v>53.91</v>
      </c>
      <c r="M58">
        <v>78</v>
      </c>
    </row>
    <row r="59" spans="1:13" x14ac:dyDescent="0.2">
      <c r="A59" t="s">
        <v>365</v>
      </c>
      <c r="B59" t="s">
        <v>58</v>
      </c>
      <c r="C59">
        <v>94189</v>
      </c>
      <c r="D59">
        <v>4211</v>
      </c>
      <c r="E59">
        <v>4.47</v>
      </c>
      <c r="F59">
        <v>496.15</v>
      </c>
      <c r="G59">
        <v>0.12</v>
      </c>
      <c r="H59">
        <v>283</v>
      </c>
      <c r="I59">
        <v>6.72</v>
      </c>
      <c r="J59">
        <v>19259.849999999999</v>
      </c>
      <c r="K59">
        <v>38.82</v>
      </c>
      <c r="L59">
        <v>1.75</v>
      </c>
      <c r="M59">
        <v>283</v>
      </c>
    </row>
    <row r="60" spans="1:13" x14ac:dyDescent="0.2">
      <c r="A60" t="s">
        <v>365</v>
      </c>
      <c r="B60" t="s">
        <v>35</v>
      </c>
      <c r="C60">
        <v>126477</v>
      </c>
      <c r="D60">
        <v>1612</v>
      </c>
      <c r="E60">
        <v>1.27</v>
      </c>
      <c r="F60">
        <v>1995.21</v>
      </c>
      <c r="G60">
        <v>1.24</v>
      </c>
      <c r="H60">
        <v>36</v>
      </c>
      <c r="I60">
        <v>2.23</v>
      </c>
      <c r="J60">
        <v>1999.14</v>
      </c>
      <c r="K60">
        <v>1</v>
      </c>
      <c r="L60">
        <v>55.42</v>
      </c>
      <c r="M60">
        <v>36</v>
      </c>
    </row>
    <row r="61" spans="1:13" x14ac:dyDescent="0.2">
      <c r="A61" t="s">
        <v>365</v>
      </c>
      <c r="B61" t="s">
        <v>32</v>
      </c>
      <c r="C61">
        <v>136308</v>
      </c>
      <c r="D61">
        <v>3825</v>
      </c>
      <c r="E61">
        <v>2.81</v>
      </c>
      <c r="F61">
        <v>290.68</v>
      </c>
      <c r="G61">
        <v>0.08</v>
      </c>
      <c r="H61">
        <v>169</v>
      </c>
      <c r="I61">
        <v>4.42</v>
      </c>
      <c r="J61">
        <v>11766.52</v>
      </c>
      <c r="K61">
        <v>40.479999999999997</v>
      </c>
      <c r="L61">
        <v>1.72</v>
      </c>
      <c r="M61">
        <v>169</v>
      </c>
    </row>
    <row r="62" spans="1:13" x14ac:dyDescent="0.2">
      <c r="A62" t="s">
        <v>366</v>
      </c>
      <c r="B62" t="s">
        <v>23</v>
      </c>
      <c r="C62">
        <v>178781</v>
      </c>
      <c r="D62">
        <v>5928</v>
      </c>
      <c r="E62">
        <v>3.32</v>
      </c>
      <c r="F62">
        <v>10213.280000000001</v>
      </c>
      <c r="G62">
        <v>1.72</v>
      </c>
      <c r="H62">
        <v>213</v>
      </c>
      <c r="I62">
        <v>3.59</v>
      </c>
      <c r="J62">
        <v>13514.46</v>
      </c>
      <c r="K62">
        <v>1.32</v>
      </c>
      <c r="L62">
        <v>47.95</v>
      </c>
      <c r="M62">
        <v>213</v>
      </c>
    </row>
    <row r="63" spans="1:13" x14ac:dyDescent="0.2">
      <c r="A63" t="s">
        <v>366</v>
      </c>
      <c r="B63" t="s">
        <v>37</v>
      </c>
      <c r="C63">
        <v>254114</v>
      </c>
      <c r="D63">
        <v>4752</v>
      </c>
      <c r="E63">
        <v>1.87</v>
      </c>
      <c r="F63">
        <v>4287.0200000000004</v>
      </c>
      <c r="G63">
        <v>0.9</v>
      </c>
      <c r="H63">
        <v>92</v>
      </c>
      <c r="I63">
        <v>1.94</v>
      </c>
      <c r="J63">
        <v>4831.54</v>
      </c>
      <c r="K63">
        <v>1.1299999999999999</v>
      </c>
      <c r="L63">
        <v>46.6</v>
      </c>
      <c r="M63">
        <v>92</v>
      </c>
    </row>
    <row r="64" spans="1:13" x14ac:dyDescent="0.2">
      <c r="A64" t="s">
        <v>366</v>
      </c>
      <c r="B64" t="s">
        <v>58</v>
      </c>
      <c r="C64">
        <v>87768</v>
      </c>
      <c r="D64">
        <v>4018</v>
      </c>
      <c r="E64">
        <v>4.58</v>
      </c>
      <c r="F64">
        <v>523.95000000000005</v>
      </c>
      <c r="G64">
        <v>0.13</v>
      </c>
      <c r="H64">
        <v>243</v>
      </c>
      <c r="I64">
        <v>6.05</v>
      </c>
      <c r="J64">
        <v>17665.650000000001</v>
      </c>
      <c r="K64">
        <v>33.72</v>
      </c>
      <c r="L64">
        <v>2.16</v>
      </c>
      <c r="M64">
        <v>243</v>
      </c>
    </row>
    <row r="65" spans="1:13" x14ac:dyDescent="0.2">
      <c r="A65" t="s">
        <v>366</v>
      </c>
      <c r="B65" t="s">
        <v>35</v>
      </c>
      <c r="C65">
        <v>132842</v>
      </c>
      <c r="D65">
        <v>1653</v>
      </c>
      <c r="E65">
        <v>1.24</v>
      </c>
      <c r="F65">
        <v>2108.88</v>
      </c>
      <c r="G65">
        <v>1.28</v>
      </c>
      <c r="H65">
        <v>36</v>
      </c>
      <c r="I65">
        <v>2.1800000000000002</v>
      </c>
      <c r="J65">
        <v>2248.27</v>
      </c>
      <c r="K65">
        <v>1.07</v>
      </c>
      <c r="L65">
        <v>58.58</v>
      </c>
      <c r="M65">
        <v>36</v>
      </c>
    </row>
    <row r="66" spans="1:13" x14ac:dyDescent="0.2">
      <c r="A66" t="s">
        <v>366</v>
      </c>
      <c r="B66" t="s">
        <v>32</v>
      </c>
      <c r="C66">
        <v>148036</v>
      </c>
      <c r="D66">
        <v>3777</v>
      </c>
      <c r="E66">
        <v>2.5499999999999998</v>
      </c>
      <c r="F66">
        <v>298.66000000000003</v>
      </c>
      <c r="G66">
        <v>0.08</v>
      </c>
      <c r="H66">
        <v>164</v>
      </c>
      <c r="I66">
        <v>4.34</v>
      </c>
      <c r="J66">
        <v>10680.23</v>
      </c>
      <c r="K66">
        <v>35.76</v>
      </c>
      <c r="L66">
        <v>1.82</v>
      </c>
      <c r="M66">
        <v>164</v>
      </c>
    </row>
    <row r="67" spans="1:13" x14ac:dyDescent="0.2">
      <c r="A67" t="s">
        <v>367</v>
      </c>
      <c r="B67" t="s">
        <v>23</v>
      </c>
      <c r="C67">
        <v>201241</v>
      </c>
      <c r="D67">
        <v>6695</v>
      </c>
      <c r="E67">
        <v>3.33</v>
      </c>
      <c r="F67">
        <v>10788.64</v>
      </c>
      <c r="G67">
        <v>1.61</v>
      </c>
      <c r="H67">
        <v>224</v>
      </c>
      <c r="I67">
        <v>3.35</v>
      </c>
      <c r="J67">
        <v>14754.69</v>
      </c>
      <c r="K67">
        <v>1.37</v>
      </c>
      <c r="L67">
        <v>48.16</v>
      </c>
      <c r="M67">
        <v>224</v>
      </c>
    </row>
    <row r="68" spans="1:13" x14ac:dyDescent="0.2">
      <c r="A68" t="s">
        <v>367</v>
      </c>
      <c r="B68" t="s">
        <v>37</v>
      </c>
      <c r="C68">
        <v>278474</v>
      </c>
      <c r="D68">
        <v>4473</v>
      </c>
      <c r="E68">
        <v>1.61</v>
      </c>
      <c r="F68">
        <v>3795.4</v>
      </c>
      <c r="G68">
        <v>0.85</v>
      </c>
      <c r="H68">
        <v>87</v>
      </c>
      <c r="I68">
        <v>1.95</v>
      </c>
      <c r="J68">
        <v>4358.45</v>
      </c>
      <c r="K68">
        <v>1.1499999999999999</v>
      </c>
      <c r="L68">
        <v>43.63</v>
      </c>
      <c r="M68">
        <v>87</v>
      </c>
    </row>
    <row r="69" spans="1:13" x14ac:dyDescent="0.2">
      <c r="A69" t="s">
        <v>367</v>
      </c>
      <c r="B69" t="s">
        <v>58</v>
      </c>
      <c r="C69">
        <v>89541</v>
      </c>
      <c r="D69">
        <v>4583</v>
      </c>
      <c r="E69">
        <v>5.12</v>
      </c>
      <c r="F69">
        <v>581.49</v>
      </c>
      <c r="G69">
        <v>0.13</v>
      </c>
      <c r="H69">
        <v>323</v>
      </c>
      <c r="I69">
        <v>7.05</v>
      </c>
      <c r="J69">
        <v>22272.94</v>
      </c>
      <c r="K69">
        <v>38.299999999999997</v>
      </c>
      <c r="L69">
        <v>1.8</v>
      </c>
      <c r="M69">
        <v>323</v>
      </c>
    </row>
    <row r="70" spans="1:13" x14ac:dyDescent="0.2">
      <c r="A70" t="s">
        <v>367</v>
      </c>
      <c r="B70" t="s">
        <v>35</v>
      </c>
      <c r="C70">
        <v>126569</v>
      </c>
      <c r="D70">
        <v>1666</v>
      </c>
      <c r="E70">
        <v>1.32</v>
      </c>
      <c r="F70">
        <v>2030.21</v>
      </c>
      <c r="G70">
        <v>1.22</v>
      </c>
      <c r="H70">
        <v>35</v>
      </c>
      <c r="I70">
        <v>2.1</v>
      </c>
      <c r="J70">
        <v>2005.29</v>
      </c>
      <c r="K70">
        <v>0.99</v>
      </c>
      <c r="L70">
        <v>58.01</v>
      </c>
      <c r="M70">
        <v>35</v>
      </c>
    </row>
    <row r="71" spans="1:13" x14ac:dyDescent="0.2">
      <c r="A71" t="s">
        <v>367</v>
      </c>
      <c r="B71" t="s">
        <v>32</v>
      </c>
      <c r="C71">
        <v>157229</v>
      </c>
      <c r="D71">
        <v>4081</v>
      </c>
      <c r="E71">
        <v>2.6</v>
      </c>
      <c r="F71">
        <v>308.63</v>
      </c>
      <c r="G71">
        <v>0.08</v>
      </c>
      <c r="H71">
        <v>147</v>
      </c>
      <c r="I71">
        <v>3.6</v>
      </c>
      <c r="J71">
        <v>8993.01</v>
      </c>
      <c r="K71">
        <v>29.14</v>
      </c>
      <c r="L71">
        <v>2.1</v>
      </c>
      <c r="M71">
        <v>147</v>
      </c>
    </row>
    <row r="72" spans="1:13" x14ac:dyDescent="0.2">
      <c r="A72" t="s">
        <v>368</v>
      </c>
      <c r="B72" t="s">
        <v>23</v>
      </c>
      <c r="C72">
        <v>218081</v>
      </c>
      <c r="D72">
        <v>7068</v>
      </c>
      <c r="E72">
        <v>3.24</v>
      </c>
      <c r="F72">
        <v>11458.56</v>
      </c>
      <c r="G72">
        <v>1.62</v>
      </c>
      <c r="H72">
        <v>281</v>
      </c>
      <c r="I72">
        <v>3.98</v>
      </c>
      <c r="J72">
        <v>17989.939999999999</v>
      </c>
      <c r="K72">
        <v>1.57</v>
      </c>
      <c r="L72">
        <v>40.78</v>
      </c>
      <c r="M72">
        <v>281</v>
      </c>
    </row>
    <row r="73" spans="1:13" x14ac:dyDescent="0.2">
      <c r="A73" t="s">
        <v>368</v>
      </c>
      <c r="B73" t="s">
        <v>37</v>
      </c>
      <c r="C73">
        <v>263783</v>
      </c>
      <c r="D73">
        <v>4754</v>
      </c>
      <c r="E73">
        <v>1.8</v>
      </c>
      <c r="F73">
        <v>4317.62</v>
      </c>
      <c r="G73">
        <v>0.91</v>
      </c>
      <c r="H73">
        <v>92</v>
      </c>
      <c r="I73">
        <v>1.94</v>
      </c>
      <c r="J73">
        <v>4803.1000000000004</v>
      </c>
      <c r="K73">
        <v>1.1100000000000001</v>
      </c>
      <c r="L73">
        <v>46.93</v>
      </c>
      <c r="M73">
        <v>92</v>
      </c>
    </row>
    <row r="74" spans="1:13" x14ac:dyDescent="0.2">
      <c r="A74" t="s">
        <v>368</v>
      </c>
      <c r="B74" t="s">
        <v>58</v>
      </c>
      <c r="C74">
        <v>109000</v>
      </c>
      <c r="D74">
        <v>5145</v>
      </c>
      <c r="E74">
        <v>4.72</v>
      </c>
      <c r="F74">
        <v>602.05999999999995</v>
      </c>
      <c r="G74">
        <v>0.12</v>
      </c>
      <c r="H74">
        <v>336</v>
      </c>
      <c r="I74">
        <v>6.53</v>
      </c>
      <c r="J74">
        <v>21940.16</v>
      </c>
      <c r="K74">
        <v>36.44</v>
      </c>
      <c r="L74">
        <v>1.79</v>
      </c>
      <c r="M74">
        <v>336</v>
      </c>
    </row>
    <row r="75" spans="1:13" x14ac:dyDescent="0.2">
      <c r="A75" t="s">
        <v>368</v>
      </c>
      <c r="B75" t="s">
        <v>35</v>
      </c>
      <c r="C75">
        <v>143096</v>
      </c>
      <c r="D75">
        <v>1590</v>
      </c>
      <c r="E75">
        <v>1.1100000000000001</v>
      </c>
      <c r="F75">
        <v>1854.82</v>
      </c>
      <c r="G75">
        <v>1.17</v>
      </c>
      <c r="H75">
        <v>34</v>
      </c>
      <c r="I75">
        <v>2.14</v>
      </c>
      <c r="J75">
        <v>2050.09</v>
      </c>
      <c r="K75">
        <v>1.1100000000000001</v>
      </c>
      <c r="L75">
        <v>54.55</v>
      </c>
      <c r="M75">
        <v>34</v>
      </c>
    </row>
    <row r="76" spans="1:13" x14ac:dyDescent="0.2">
      <c r="A76" t="s">
        <v>368</v>
      </c>
      <c r="B76" t="s">
        <v>32</v>
      </c>
      <c r="C76">
        <v>160806</v>
      </c>
      <c r="D76">
        <v>4521</v>
      </c>
      <c r="E76">
        <v>2.81</v>
      </c>
      <c r="F76">
        <v>393.51</v>
      </c>
      <c r="G76">
        <v>0.09</v>
      </c>
      <c r="H76">
        <v>180</v>
      </c>
      <c r="I76">
        <v>3.98</v>
      </c>
      <c r="J76">
        <v>12446.75</v>
      </c>
      <c r="K76">
        <v>31.63</v>
      </c>
      <c r="L76">
        <v>2.19</v>
      </c>
      <c r="M76">
        <v>180</v>
      </c>
    </row>
    <row r="77" spans="1:13" x14ac:dyDescent="0.2">
      <c r="A77" t="s">
        <v>369</v>
      </c>
      <c r="B77" t="s">
        <v>23</v>
      </c>
      <c r="C77">
        <v>182039</v>
      </c>
      <c r="D77">
        <v>6628</v>
      </c>
      <c r="E77">
        <v>3.64</v>
      </c>
      <c r="F77">
        <v>11161.64</v>
      </c>
      <c r="G77">
        <v>1.68</v>
      </c>
      <c r="H77">
        <v>221</v>
      </c>
      <c r="I77">
        <v>3.33</v>
      </c>
      <c r="J77">
        <v>13901.39</v>
      </c>
      <c r="K77">
        <v>1.25</v>
      </c>
      <c r="L77">
        <v>50.51</v>
      </c>
      <c r="M77">
        <v>221</v>
      </c>
    </row>
    <row r="78" spans="1:13" x14ac:dyDescent="0.2">
      <c r="A78" t="s">
        <v>369</v>
      </c>
      <c r="B78" t="s">
        <v>37</v>
      </c>
      <c r="C78">
        <v>267813</v>
      </c>
      <c r="D78">
        <v>4805</v>
      </c>
      <c r="E78">
        <v>1.79</v>
      </c>
      <c r="F78">
        <v>4303.57</v>
      </c>
      <c r="G78">
        <v>0.9</v>
      </c>
      <c r="H78">
        <v>90</v>
      </c>
      <c r="I78">
        <v>1.87</v>
      </c>
      <c r="J78">
        <v>4319.4799999999996</v>
      </c>
      <c r="K78">
        <v>1</v>
      </c>
      <c r="L78">
        <v>47.82</v>
      </c>
      <c r="M78">
        <v>90</v>
      </c>
    </row>
    <row r="79" spans="1:13" x14ac:dyDescent="0.2">
      <c r="A79" t="s">
        <v>369</v>
      </c>
      <c r="B79" t="s">
        <v>58</v>
      </c>
      <c r="C79">
        <v>93711</v>
      </c>
      <c r="D79">
        <v>3918</v>
      </c>
      <c r="E79">
        <v>4.18</v>
      </c>
      <c r="F79">
        <v>456.46</v>
      </c>
      <c r="G79">
        <v>0.12</v>
      </c>
      <c r="H79">
        <v>250</v>
      </c>
      <c r="I79">
        <v>6.38</v>
      </c>
      <c r="J79">
        <v>18337.73</v>
      </c>
      <c r="K79">
        <v>40.17</v>
      </c>
      <c r="L79">
        <v>1.83</v>
      </c>
      <c r="M79">
        <v>250</v>
      </c>
    </row>
    <row r="80" spans="1:13" x14ac:dyDescent="0.2">
      <c r="A80" t="s">
        <v>369</v>
      </c>
      <c r="B80" t="s">
        <v>35</v>
      </c>
      <c r="C80">
        <v>138167</v>
      </c>
      <c r="D80">
        <v>1651</v>
      </c>
      <c r="E80">
        <v>1.19</v>
      </c>
      <c r="F80">
        <v>2198.5100000000002</v>
      </c>
      <c r="G80">
        <v>1.33</v>
      </c>
      <c r="H80">
        <v>35</v>
      </c>
      <c r="I80">
        <v>2.12</v>
      </c>
      <c r="J80">
        <v>2211.7399999999998</v>
      </c>
      <c r="K80">
        <v>1.01</v>
      </c>
      <c r="L80">
        <v>62.81</v>
      </c>
      <c r="M80">
        <v>35</v>
      </c>
    </row>
    <row r="81" spans="1:13" x14ac:dyDescent="0.2">
      <c r="A81" t="s">
        <v>369</v>
      </c>
      <c r="B81" t="s">
        <v>32</v>
      </c>
      <c r="C81">
        <v>167651</v>
      </c>
      <c r="D81">
        <v>4492</v>
      </c>
      <c r="E81">
        <v>2.68</v>
      </c>
      <c r="F81">
        <v>327.60000000000002</v>
      </c>
      <c r="G81">
        <v>7.0000000000000007E-2</v>
      </c>
      <c r="H81">
        <v>198</v>
      </c>
      <c r="I81">
        <v>4.41</v>
      </c>
      <c r="J81">
        <v>12268.97</v>
      </c>
      <c r="K81">
        <v>37.450000000000003</v>
      </c>
      <c r="L81">
        <v>1.65</v>
      </c>
      <c r="M81">
        <v>198</v>
      </c>
    </row>
    <row r="82" spans="1:13" x14ac:dyDescent="0.2">
      <c r="A82" t="s">
        <v>370</v>
      </c>
      <c r="B82" t="s">
        <v>23</v>
      </c>
      <c r="C82">
        <v>189057</v>
      </c>
      <c r="D82">
        <v>6538</v>
      </c>
      <c r="E82">
        <v>3.46</v>
      </c>
      <c r="F82">
        <v>10378.85</v>
      </c>
      <c r="G82">
        <v>1.59</v>
      </c>
      <c r="H82">
        <v>245</v>
      </c>
      <c r="I82">
        <v>3.75</v>
      </c>
      <c r="J82">
        <v>14809.31</v>
      </c>
      <c r="K82">
        <v>1.43</v>
      </c>
      <c r="L82">
        <v>42.36</v>
      </c>
      <c r="M82">
        <v>245</v>
      </c>
    </row>
    <row r="83" spans="1:13" x14ac:dyDescent="0.2">
      <c r="A83" t="s">
        <v>370</v>
      </c>
      <c r="B83" t="s">
        <v>37</v>
      </c>
      <c r="C83">
        <v>277867</v>
      </c>
      <c r="D83">
        <v>4892</v>
      </c>
      <c r="E83">
        <v>1.76</v>
      </c>
      <c r="F83">
        <v>4792.97</v>
      </c>
      <c r="G83">
        <v>0.98</v>
      </c>
      <c r="H83">
        <v>94</v>
      </c>
      <c r="I83">
        <v>1.92</v>
      </c>
      <c r="J83">
        <v>5013.13</v>
      </c>
      <c r="K83">
        <v>1.05</v>
      </c>
      <c r="L83">
        <v>50.99</v>
      </c>
      <c r="M83">
        <v>94</v>
      </c>
    </row>
    <row r="84" spans="1:13" x14ac:dyDescent="0.2">
      <c r="A84" t="s">
        <v>370</v>
      </c>
      <c r="B84" t="s">
        <v>58</v>
      </c>
      <c r="C84">
        <v>104413</v>
      </c>
      <c r="D84">
        <v>4947</v>
      </c>
      <c r="E84">
        <v>4.74</v>
      </c>
      <c r="F84">
        <v>559.35</v>
      </c>
      <c r="G84">
        <v>0.11</v>
      </c>
      <c r="H84">
        <v>325</v>
      </c>
      <c r="I84">
        <v>6.57</v>
      </c>
      <c r="J84">
        <v>23061.5</v>
      </c>
      <c r="K84">
        <v>41.23</v>
      </c>
      <c r="L84">
        <v>1.72</v>
      </c>
      <c r="M84">
        <v>325</v>
      </c>
    </row>
    <row r="85" spans="1:13" x14ac:dyDescent="0.2">
      <c r="A85" t="s">
        <v>370</v>
      </c>
      <c r="B85" t="s">
        <v>35</v>
      </c>
      <c r="C85">
        <v>134635</v>
      </c>
      <c r="D85">
        <v>1628</v>
      </c>
      <c r="E85">
        <v>1.21</v>
      </c>
      <c r="F85">
        <v>1985.45</v>
      </c>
      <c r="G85">
        <v>1.22</v>
      </c>
      <c r="H85">
        <v>31</v>
      </c>
      <c r="I85">
        <v>1.9</v>
      </c>
      <c r="J85">
        <v>1848.16</v>
      </c>
      <c r="K85">
        <v>0.93</v>
      </c>
      <c r="L85">
        <v>64.05</v>
      </c>
      <c r="M85">
        <v>31</v>
      </c>
    </row>
    <row r="86" spans="1:13" x14ac:dyDescent="0.2">
      <c r="A86" t="s">
        <v>370</v>
      </c>
      <c r="B86" t="s">
        <v>32</v>
      </c>
      <c r="C86">
        <v>153775</v>
      </c>
      <c r="D86">
        <v>4637</v>
      </c>
      <c r="E86">
        <v>3.02</v>
      </c>
      <c r="F86">
        <v>349.03</v>
      </c>
      <c r="G86">
        <v>0.08</v>
      </c>
      <c r="H86">
        <v>171</v>
      </c>
      <c r="I86">
        <v>3.69</v>
      </c>
      <c r="J86">
        <v>11112.94</v>
      </c>
      <c r="K86">
        <v>31.84</v>
      </c>
      <c r="L86">
        <v>2.04</v>
      </c>
      <c r="M86">
        <v>171</v>
      </c>
    </row>
    <row r="87" spans="1:13" x14ac:dyDescent="0.2">
      <c r="A87" t="s">
        <v>371</v>
      </c>
      <c r="B87" t="s">
        <v>23</v>
      </c>
      <c r="C87">
        <v>197472</v>
      </c>
      <c r="D87">
        <v>6689</v>
      </c>
      <c r="E87">
        <v>3.39</v>
      </c>
      <c r="F87">
        <v>9962.42</v>
      </c>
      <c r="G87">
        <v>1.49</v>
      </c>
      <c r="H87">
        <v>248</v>
      </c>
      <c r="I87">
        <v>3.71</v>
      </c>
      <c r="J87">
        <v>15407.53</v>
      </c>
      <c r="K87">
        <v>1.55</v>
      </c>
      <c r="L87">
        <v>40.17</v>
      </c>
      <c r="M87">
        <v>248</v>
      </c>
    </row>
    <row r="88" spans="1:13" x14ac:dyDescent="0.2">
      <c r="A88" t="s">
        <v>371</v>
      </c>
      <c r="B88" t="s">
        <v>37</v>
      </c>
      <c r="C88">
        <v>301728</v>
      </c>
      <c r="D88">
        <v>5657</v>
      </c>
      <c r="E88">
        <v>1.87</v>
      </c>
      <c r="F88">
        <v>5030.54</v>
      </c>
      <c r="G88">
        <v>0.89</v>
      </c>
      <c r="H88">
        <v>98</v>
      </c>
      <c r="I88">
        <v>1.73</v>
      </c>
      <c r="J88">
        <v>5092.8599999999997</v>
      </c>
      <c r="K88">
        <v>1.01</v>
      </c>
      <c r="L88">
        <v>51.33</v>
      </c>
      <c r="M88">
        <v>98</v>
      </c>
    </row>
    <row r="89" spans="1:13" x14ac:dyDescent="0.2">
      <c r="A89" t="s">
        <v>371</v>
      </c>
      <c r="B89" t="s">
        <v>58</v>
      </c>
      <c r="C89">
        <v>85813</v>
      </c>
      <c r="D89">
        <v>3964</v>
      </c>
      <c r="E89">
        <v>4.62</v>
      </c>
      <c r="F89">
        <v>463.31</v>
      </c>
      <c r="G89">
        <v>0.12</v>
      </c>
      <c r="H89">
        <v>277</v>
      </c>
      <c r="I89">
        <v>6.99</v>
      </c>
      <c r="J89">
        <v>17928.11</v>
      </c>
      <c r="K89">
        <v>38.700000000000003</v>
      </c>
      <c r="L89">
        <v>1.67</v>
      </c>
      <c r="M89">
        <v>277</v>
      </c>
    </row>
    <row r="90" spans="1:13" x14ac:dyDescent="0.2">
      <c r="A90" t="s">
        <v>371</v>
      </c>
      <c r="B90" t="s">
        <v>35</v>
      </c>
      <c r="C90">
        <v>128724</v>
      </c>
      <c r="D90">
        <v>1641</v>
      </c>
      <c r="E90">
        <v>1.27</v>
      </c>
      <c r="F90">
        <v>1982.4</v>
      </c>
      <c r="G90">
        <v>1.21</v>
      </c>
      <c r="H90">
        <v>29</v>
      </c>
      <c r="I90">
        <v>1.77</v>
      </c>
      <c r="J90">
        <v>1843.25</v>
      </c>
      <c r="K90">
        <v>0.93</v>
      </c>
      <c r="L90">
        <v>68.36</v>
      </c>
      <c r="M90">
        <v>29</v>
      </c>
    </row>
    <row r="91" spans="1:13" x14ac:dyDescent="0.2">
      <c r="A91" t="s">
        <v>371</v>
      </c>
      <c r="B91" t="s">
        <v>32</v>
      </c>
      <c r="C91">
        <v>159699</v>
      </c>
      <c r="D91">
        <v>4628</v>
      </c>
      <c r="E91">
        <v>2.9</v>
      </c>
      <c r="F91">
        <v>352.49</v>
      </c>
      <c r="G91">
        <v>0.08</v>
      </c>
      <c r="H91">
        <v>191</v>
      </c>
      <c r="I91">
        <v>4.13</v>
      </c>
      <c r="J91">
        <v>12399.69</v>
      </c>
      <c r="K91">
        <v>35.18</v>
      </c>
      <c r="L91">
        <v>1.85</v>
      </c>
      <c r="M91">
        <v>191</v>
      </c>
    </row>
    <row r="92" spans="1:13" x14ac:dyDescent="0.2">
      <c r="A92" t="s">
        <v>372</v>
      </c>
      <c r="B92" t="s">
        <v>23</v>
      </c>
      <c r="C92">
        <v>164965</v>
      </c>
      <c r="D92">
        <v>5178</v>
      </c>
      <c r="E92">
        <v>3.14</v>
      </c>
      <c r="F92">
        <v>8702.0300000000007</v>
      </c>
      <c r="G92">
        <v>1.68</v>
      </c>
      <c r="H92">
        <v>176</v>
      </c>
      <c r="I92">
        <v>3.4</v>
      </c>
      <c r="J92">
        <v>10685.51</v>
      </c>
      <c r="K92">
        <v>1.23</v>
      </c>
      <c r="L92">
        <v>49.44</v>
      </c>
      <c r="M92">
        <v>176</v>
      </c>
    </row>
    <row r="93" spans="1:13" x14ac:dyDescent="0.2">
      <c r="A93" t="s">
        <v>372</v>
      </c>
      <c r="B93" t="s">
        <v>37</v>
      </c>
      <c r="C93">
        <v>262880</v>
      </c>
      <c r="D93">
        <v>4777</v>
      </c>
      <c r="E93">
        <v>1.82</v>
      </c>
      <c r="F93">
        <v>3840.67</v>
      </c>
      <c r="G93">
        <v>0.8</v>
      </c>
      <c r="H93">
        <v>89</v>
      </c>
      <c r="I93">
        <v>1.86</v>
      </c>
      <c r="J93">
        <v>4220.93</v>
      </c>
      <c r="K93">
        <v>1.1000000000000001</v>
      </c>
      <c r="L93">
        <v>43.15</v>
      </c>
      <c r="M93">
        <v>89</v>
      </c>
    </row>
    <row r="94" spans="1:13" x14ac:dyDescent="0.2">
      <c r="A94" t="s">
        <v>372</v>
      </c>
      <c r="B94" t="s">
        <v>58</v>
      </c>
      <c r="C94">
        <v>81721</v>
      </c>
      <c r="D94">
        <v>3426</v>
      </c>
      <c r="E94">
        <v>4.1900000000000004</v>
      </c>
      <c r="F94">
        <v>445.46</v>
      </c>
      <c r="G94">
        <v>0.13</v>
      </c>
      <c r="H94">
        <v>193</v>
      </c>
      <c r="I94">
        <v>5.63</v>
      </c>
      <c r="J94">
        <v>12556.68</v>
      </c>
      <c r="K94">
        <v>28.19</v>
      </c>
      <c r="L94">
        <v>2.31</v>
      </c>
      <c r="M94">
        <v>193</v>
      </c>
    </row>
    <row r="95" spans="1:13" x14ac:dyDescent="0.2">
      <c r="A95" t="s">
        <v>372</v>
      </c>
      <c r="B95" t="s">
        <v>35</v>
      </c>
      <c r="C95">
        <v>119560</v>
      </c>
      <c r="D95">
        <v>1557</v>
      </c>
      <c r="E95">
        <v>1.3</v>
      </c>
      <c r="F95">
        <v>1789.42</v>
      </c>
      <c r="G95">
        <v>1.1499999999999999</v>
      </c>
      <c r="H95">
        <v>30</v>
      </c>
      <c r="I95">
        <v>1.93</v>
      </c>
      <c r="J95">
        <v>1663.42</v>
      </c>
      <c r="K95">
        <v>0.93</v>
      </c>
      <c r="L95">
        <v>59.65</v>
      </c>
      <c r="M95">
        <v>30</v>
      </c>
    </row>
    <row r="96" spans="1:13" x14ac:dyDescent="0.2">
      <c r="A96" t="s">
        <v>372</v>
      </c>
      <c r="B96" t="s">
        <v>32</v>
      </c>
      <c r="C96">
        <v>149819</v>
      </c>
      <c r="D96">
        <v>4308</v>
      </c>
      <c r="E96">
        <v>2.88</v>
      </c>
      <c r="F96">
        <v>353.46</v>
      </c>
      <c r="G96">
        <v>0.08</v>
      </c>
      <c r="H96">
        <v>171</v>
      </c>
      <c r="I96">
        <v>3.97</v>
      </c>
      <c r="J96">
        <v>10914.78</v>
      </c>
      <c r="K96">
        <v>30.88</v>
      </c>
      <c r="L96">
        <v>2.0699999999999998</v>
      </c>
      <c r="M96">
        <v>171</v>
      </c>
    </row>
    <row r="97" spans="1:13" x14ac:dyDescent="0.2">
      <c r="A97" t="s">
        <v>373</v>
      </c>
      <c r="B97" t="s">
        <v>23</v>
      </c>
      <c r="C97">
        <v>157911</v>
      </c>
      <c r="D97">
        <v>5265</v>
      </c>
      <c r="E97">
        <v>3.33</v>
      </c>
      <c r="F97">
        <v>7523.3</v>
      </c>
      <c r="G97">
        <v>1.43</v>
      </c>
      <c r="H97">
        <v>206</v>
      </c>
      <c r="I97">
        <v>3.91</v>
      </c>
      <c r="J97">
        <v>13984.59</v>
      </c>
      <c r="K97">
        <v>1.86</v>
      </c>
      <c r="L97">
        <v>36.520000000000003</v>
      </c>
      <c r="M97">
        <v>206</v>
      </c>
    </row>
    <row r="98" spans="1:13" x14ac:dyDescent="0.2">
      <c r="A98" t="s">
        <v>373</v>
      </c>
      <c r="B98" t="s">
        <v>37</v>
      </c>
      <c r="C98">
        <v>275013</v>
      </c>
      <c r="D98">
        <v>5097</v>
      </c>
      <c r="E98">
        <v>1.85</v>
      </c>
      <c r="F98">
        <v>4629.67</v>
      </c>
      <c r="G98">
        <v>0.91</v>
      </c>
      <c r="H98">
        <v>98</v>
      </c>
      <c r="I98">
        <v>1.92</v>
      </c>
      <c r="J98">
        <v>4767.33</v>
      </c>
      <c r="K98">
        <v>1.03</v>
      </c>
      <c r="L98">
        <v>47.24</v>
      </c>
      <c r="M98">
        <v>98</v>
      </c>
    </row>
    <row r="99" spans="1:13" x14ac:dyDescent="0.2">
      <c r="A99" t="s">
        <v>373</v>
      </c>
      <c r="B99" t="s">
        <v>58</v>
      </c>
      <c r="C99">
        <v>88814</v>
      </c>
      <c r="D99">
        <v>4086</v>
      </c>
      <c r="E99">
        <v>4.5999999999999996</v>
      </c>
      <c r="F99">
        <v>493.28</v>
      </c>
      <c r="G99">
        <v>0.12</v>
      </c>
      <c r="H99">
        <v>274</v>
      </c>
      <c r="I99">
        <v>6.71</v>
      </c>
      <c r="J99">
        <v>18488.310000000001</v>
      </c>
      <c r="K99">
        <v>37.479999999999997</v>
      </c>
      <c r="L99">
        <v>1.8</v>
      </c>
      <c r="M99">
        <v>274</v>
      </c>
    </row>
    <row r="100" spans="1:13" x14ac:dyDescent="0.2">
      <c r="A100" t="s">
        <v>373</v>
      </c>
      <c r="B100" t="s">
        <v>35</v>
      </c>
      <c r="C100">
        <v>110576</v>
      </c>
      <c r="D100">
        <v>1464</v>
      </c>
      <c r="E100">
        <v>1.32</v>
      </c>
      <c r="F100">
        <v>1602.85</v>
      </c>
      <c r="G100">
        <v>1.0900000000000001</v>
      </c>
      <c r="H100">
        <v>29</v>
      </c>
      <c r="I100">
        <v>1.98</v>
      </c>
      <c r="J100">
        <v>1828.2</v>
      </c>
      <c r="K100">
        <v>1.1399999999999999</v>
      </c>
      <c r="L100">
        <v>55.27</v>
      </c>
      <c r="M100">
        <v>29</v>
      </c>
    </row>
    <row r="101" spans="1:13" x14ac:dyDescent="0.2">
      <c r="A101" t="s">
        <v>373</v>
      </c>
      <c r="B101" t="s">
        <v>32</v>
      </c>
      <c r="C101">
        <v>147384</v>
      </c>
      <c r="D101">
        <v>4210</v>
      </c>
      <c r="E101">
        <v>2.86</v>
      </c>
      <c r="F101">
        <v>321.63</v>
      </c>
      <c r="G101">
        <v>0.08</v>
      </c>
      <c r="H101">
        <v>167</v>
      </c>
      <c r="I101">
        <v>3.97</v>
      </c>
      <c r="J101">
        <v>11519.6</v>
      </c>
      <c r="K101">
        <v>35.82</v>
      </c>
      <c r="L101">
        <v>1.93</v>
      </c>
      <c r="M101">
        <v>167</v>
      </c>
    </row>
    <row r="102" spans="1:13" x14ac:dyDescent="0.2">
      <c r="A102" t="s">
        <v>374</v>
      </c>
      <c r="B102" t="s">
        <v>23</v>
      </c>
      <c r="C102">
        <v>168197</v>
      </c>
      <c r="D102">
        <v>5794</v>
      </c>
      <c r="E102">
        <v>3.44</v>
      </c>
      <c r="F102">
        <v>8279.3799999999992</v>
      </c>
      <c r="G102">
        <v>1.43</v>
      </c>
      <c r="H102">
        <v>184</v>
      </c>
      <c r="I102">
        <v>3.18</v>
      </c>
      <c r="J102">
        <v>12486.66</v>
      </c>
      <c r="K102">
        <v>1.51</v>
      </c>
      <c r="L102">
        <v>45</v>
      </c>
      <c r="M102">
        <v>184</v>
      </c>
    </row>
    <row r="103" spans="1:13" x14ac:dyDescent="0.2">
      <c r="A103" t="s">
        <v>374</v>
      </c>
      <c r="B103" t="s">
        <v>37</v>
      </c>
      <c r="C103">
        <v>233431</v>
      </c>
      <c r="D103">
        <v>4098</v>
      </c>
      <c r="E103">
        <v>1.76</v>
      </c>
      <c r="F103">
        <v>3308.86</v>
      </c>
      <c r="G103">
        <v>0.81</v>
      </c>
      <c r="H103">
        <v>78</v>
      </c>
      <c r="I103">
        <v>1.9</v>
      </c>
      <c r="J103">
        <v>4165.54</v>
      </c>
      <c r="K103">
        <v>1.26</v>
      </c>
      <c r="L103">
        <v>42.42</v>
      </c>
      <c r="M103">
        <v>78</v>
      </c>
    </row>
    <row r="104" spans="1:13" x14ac:dyDescent="0.2">
      <c r="A104" t="s">
        <v>374</v>
      </c>
      <c r="B104" t="s">
        <v>58</v>
      </c>
      <c r="C104">
        <v>84396</v>
      </c>
      <c r="D104">
        <v>3601</v>
      </c>
      <c r="E104">
        <v>4.2699999999999996</v>
      </c>
      <c r="F104">
        <v>444.21</v>
      </c>
      <c r="G104">
        <v>0.12</v>
      </c>
      <c r="H104">
        <v>242</v>
      </c>
      <c r="I104">
        <v>6.72</v>
      </c>
      <c r="J104">
        <v>16636.400000000001</v>
      </c>
      <c r="K104">
        <v>37.450000000000003</v>
      </c>
      <c r="L104">
        <v>1.84</v>
      </c>
      <c r="M104">
        <v>242</v>
      </c>
    </row>
    <row r="105" spans="1:13" x14ac:dyDescent="0.2">
      <c r="A105" t="s">
        <v>374</v>
      </c>
      <c r="B105" t="s">
        <v>35</v>
      </c>
      <c r="C105">
        <v>119863</v>
      </c>
      <c r="D105">
        <v>1499</v>
      </c>
      <c r="E105">
        <v>1.25</v>
      </c>
      <c r="F105">
        <v>1974.79</v>
      </c>
      <c r="G105">
        <v>1.32</v>
      </c>
      <c r="H105">
        <v>31</v>
      </c>
      <c r="I105">
        <v>2.0699999999999998</v>
      </c>
      <c r="J105">
        <v>1743.51</v>
      </c>
      <c r="K105">
        <v>0.88</v>
      </c>
      <c r="L105">
        <v>63.7</v>
      </c>
      <c r="M105">
        <v>31</v>
      </c>
    </row>
    <row r="106" spans="1:13" x14ac:dyDescent="0.2">
      <c r="A106" t="s">
        <v>374</v>
      </c>
      <c r="B106" t="s">
        <v>32</v>
      </c>
      <c r="C106">
        <v>132643</v>
      </c>
      <c r="D106">
        <v>3507</v>
      </c>
      <c r="E106">
        <v>2.64</v>
      </c>
      <c r="F106">
        <v>308.60000000000002</v>
      </c>
      <c r="G106">
        <v>0.09</v>
      </c>
      <c r="H106">
        <v>156</v>
      </c>
      <c r="I106">
        <v>4.45</v>
      </c>
      <c r="J106">
        <v>10497.77</v>
      </c>
      <c r="K106">
        <v>34.020000000000003</v>
      </c>
      <c r="L106">
        <v>1.98</v>
      </c>
      <c r="M106">
        <v>156</v>
      </c>
    </row>
    <row r="107" spans="1:13" x14ac:dyDescent="0.2">
      <c r="A107" t="s">
        <v>375</v>
      </c>
      <c r="B107" t="s">
        <v>23</v>
      </c>
      <c r="C107">
        <v>156526</v>
      </c>
      <c r="D107">
        <v>5005</v>
      </c>
      <c r="E107">
        <v>3.2</v>
      </c>
      <c r="F107">
        <v>8273.01</v>
      </c>
      <c r="G107">
        <v>1.65</v>
      </c>
      <c r="H107">
        <v>181</v>
      </c>
      <c r="I107">
        <v>3.62</v>
      </c>
      <c r="J107">
        <v>11040.97</v>
      </c>
      <c r="K107">
        <v>1.33</v>
      </c>
      <c r="L107">
        <v>45.71</v>
      </c>
      <c r="M107">
        <v>181</v>
      </c>
    </row>
    <row r="108" spans="1:13" x14ac:dyDescent="0.2">
      <c r="A108" t="s">
        <v>375</v>
      </c>
      <c r="B108" t="s">
        <v>37</v>
      </c>
      <c r="C108">
        <v>242343</v>
      </c>
      <c r="D108">
        <v>3744</v>
      </c>
      <c r="E108">
        <v>1.54</v>
      </c>
      <c r="F108">
        <v>3201.67</v>
      </c>
      <c r="G108">
        <v>0.86</v>
      </c>
      <c r="H108">
        <v>67</v>
      </c>
      <c r="I108">
        <v>1.79</v>
      </c>
      <c r="J108">
        <v>3191.71</v>
      </c>
      <c r="K108">
        <v>1</v>
      </c>
      <c r="L108">
        <v>47.79</v>
      </c>
      <c r="M108">
        <v>67</v>
      </c>
    </row>
    <row r="109" spans="1:13" x14ac:dyDescent="0.2">
      <c r="A109" t="s">
        <v>375</v>
      </c>
      <c r="B109" t="s">
        <v>58</v>
      </c>
      <c r="C109">
        <v>90446</v>
      </c>
      <c r="D109">
        <v>3935</v>
      </c>
      <c r="E109">
        <v>4.3499999999999996</v>
      </c>
      <c r="F109">
        <v>438.52</v>
      </c>
      <c r="G109">
        <v>0.11</v>
      </c>
      <c r="H109">
        <v>228</v>
      </c>
      <c r="I109">
        <v>5.79</v>
      </c>
      <c r="J109">
        <v>16517.330000000002</v>
      </c>
      <c r="K109">
        <v>37.67</v>
      </c>
      <c r="L109">
        <v>1.92</v>
      </c>
      <c r="M109">
        <v>228</v>
      </c>
    </row>
    <row r="110" spans="1:13" x14ac:dyDescent="0.2">
      <c r="A110" t="s">
        <v>375</v>
      </c>
      <c r="B110" t="s">
        <v>35</v>
      </c>
      <c r="C110">
        <v>107310</v>
      </c>
      <c r="D110">
        <v>1319</v>
      </c>
      <c r="E110">
        <v>1.23</v>
      </c>
      <c r="F110">
        <v>1431.84</v>
      </c>
      <c r="G110">
        <v>1.0900000000000001</v>
      </c>
      <c r="H110">
        <v>23</v>
      </c>
      <c r="I110">
        <v>1.74</v>
      </c>
      <c r="J110">
        <v>1356.51</v>
      </c>
      <c r="K110">
        <v>0.95</v>
      </c>
      <c r="L110">
        <v>62.25</v>
      </c>
      <c r="M110">
        <v>23</v>
      </c>
    </row>
    <row r="111" spans="1:13" x14ac:dyDescent="0.2">
      <c r="A111" t="s">
        <v>375</v>
      </c>
      <c r="B111" t="s">
        <v>32</v>
      </c>
      <c r="C111">
        <v>145754</v>
      </c>
      <c r="D111">
        <v>4467</v>
      </c>
      <c r="E111">
        <v>3.06</v>
      </c>
      <c r="F111">
        <v>328.44</v>
      </c>
      <c r="G111">
        <v>7.0000000000000007E-2</v>
      </c>
      <c r="H111">
        <v>187</v>
      </c>
      <c r="I111">
        <v>4.1900000000000004</v>
      </c>
      <c r="J111">
        <v>13009.03</v>
      </c>
      <c r="K111">
        <v>39.61</v>
      </c>
      <c r="L111">
        <v>1.76</v>
      </c>
      <c r="M111">
        <v>187</v>
      </c>
    </row>
    <row r="112" spans="1:13" x14ac:dyDescent="0.2">
      <c r="A112" t="s">
        <v>376</v>
      </c>
      <c r="B112" t="s">
        <v>23</v>
      </c>
      <c r="C112">
        <v>162003</v>
      </c>
      <c r="D112">
        <v>5962</v>
      </c>
      <c r="E112">
        <v>3.68</v>
      </c>
      <c r="F112">
        <v>8588.7999999999993</v>
      </c>
      <c r="G112">
        <v>1.44</v>
      </c>
      <c r="H112">
        <v>243</v>
      </c>
      <c r="I112">
        <v>4.08</v>
      </c>
      <c r="J112">
        <v>16010.84</v>
      </c>
      <c r="K112">
        <v>1.86</v>
      </c>
      <c r="L112">
        <v>35.340000000000003</v>
      </c>
      <c r="M112">
        <v>243</v>
      </c>
    </row>
    <row r="113" spans="1:13" x14ac:dyDescent="0.2">
      <c r="A113" t="s">
        <v>376</v>
      </c>
      <c r="B113" t="s">
        <v>37</v>
      </c>
      <c r="C113">
        <v>262916</v>
      </c>
      <c r="D113">
        <v>4687</v>
      </c>
      <c r="E113">
        <v>1.78</v>
      </c>
      <c r="F113">
        <v>4041.86</v>
      </c>
      <c r="G113">
        <v>0.86</v>
      </c>
      <c r="H113">
        <v>95</v>
      </c>
      <c r="I113">
        <v>2.0299999999999998</v>
      </c>
      <c r="J113">
        <v>4614.66</v>
      </c>
      <c r="K113">
        <v>1.1399999999999999</v>
      </c>
      <c r="L113">
        <v>42.55</v>
      </c>
      <c r="M113">
        <v>95</v>
      </c>
    </row>
    <row r="114" spans="1:13" x14ac:dyDescent="0.2">
      <c r="A114" t="s">
        <v>376</v>
      </c>
      <c r="B114" t="s">
        <v>58</v>
      </c>
      <c r="C114">
        <v>79992</v>
      </c>
      <c r="D114">
        <v>3878</v>
      </c>
      <c r="E114">
        <v>4.8499999999999996</v>
      </c>
      <c r="F114">
        <v>497.18</v>
      </c>
      <c r="G114">
        <v>0.13</v>
      </c>
      <c r="H114">
        <v>271</v>
      </c>
      <c r="I114">
        <v>6.99</v>
      </c>
      <c r="J114">
        <v>18072.71</v>
      </c>
      <c r="K114">
        <v>36.35</v>
      </c>
      <c r="L114">
        <v>1.83</v>
      </c>
      <c r="M114">
        <v>271</v>
      </c>
    </row>
    <row r="115" spans="1:13" x14ac:dyDescent="0.2">
      <c r="A115" t="s">
        <v>376</v>
      </c>
      <c r="B115" t="s">
        <v>35</v>
      </c>
      <c r="C115">
        <v>117889</v>
      </c>
      <c r="D115">
        <v>1503</v>
      </c>
      <c r="E115">
        <v>1.27</v>
      </c>
      <c r="F115">
        <v>1648.55</v>
      </c>
      <c r="G115">
        <v>1.1000000000000001</v>
      </c>
      <c r="H115">
        <v>29</v>
      </c>
      <c r="I115">
        <v>1.93</v>
      </c>
      <c r="J115">
        <v>1669.24</v>
      </c>
      <c r="K115">
        <v>1.01</v>
      </c>
      <c r="L115">
        <v>56.85</v>
      </c>
      <c r="M115">
        <v>29</v>
      </c>
    </row>
    <row r="116" spans="1:13" x14ac:dyDescent="0.2">
      <c r="A116" t="s">
        <v>376</v>
      </c>
      <c r="B116" t="s">
        <v>32</v>
      </c>
      <c r="C116">
        <v>132486</v>
      </c>
      <c r="D116">
        <v>4140</v>
      </c>
      <c r="E116">
        <v>3.12</v>
      </c>
      <c r="F116">
        <v>344.92</v>
      </c>
      <c r="G116">
        <v>0.08</v>
      </c>
      <c r="H116">
        <v>182</v>
      </c>
      <c r="I116">
        <v>4.4000000000000004</v>
      </c>
      <c r="J116">
        <v>12771.95</v>
      </c>
      <c r="K116">
        <v>37.03</v>
      </c>
      <c r="L116">
        <v>1.9</v>
      </c>
      <c r="M116">
        <v>182</v>
      </c>
    </row>
    <row r="117" spans="1:13" x14ac:dyDescent="0.2">
      <c r="A117" t="s">
        <v>377</v>
      </c>
      <c r="B117" t="s">
        <v>23</v>
      </c>
      <c r="C117">
        <v>168090</v>
      </c>
      <c r="D117">
        <v>6151</v>
      </c>
      <c r="E117">
        <v>3.66</v>
      </c>
      <c r="F117">
        <v>9492.07</v>
      </c>
      <c r="G117">
        <v>1.54</v>
      </c>
      <c r="H117">
        <v>246</v>
      </c>
      <c r="I117">
        <v>4</v>
      </c>
      <c r="J117">
        <v>14902.71</v>
      </c>
      <c r="K117">
        <v>1.57</v>
      </c>
      <c r="L117">
        <v>38.590000000000003</v>
      </c>
      <c r="M117">
        <v>246</v>
      </c>
    </row>
    <row r="118" spans="1:13" x14ac:dyDescent="0.2">
      <c r="A118" t="s">
        <v>377</v>
      </c>
      <c r="B118" t="s">
        <v>37</v>
      </c>
      <c r="C118">
        <v>273797</v>
      </c>
      <c r="D118">
        <v>4413</v>
      </c>
      <c r="E118">
        <v>1.61</v>
      </c>
      <c r="F118">
        <v>3773.8</v>
      </c>
      <c r="G118">
        <v>0.86</v>
      </c>
      <c r="H118">
        <v>86</v>
      </c>
      <c r="I118">
        <v>1.95</v>
      </c>
      <c r="J118">
        <v>4252.1899999999996</v>
      </c>
      <c r="K118">
        <v>1.1299999999999999</v>
      </c>
      <c r="L118">
        <v>43.88</v>
      </c>
      <c r="M118">
        <v>86</v>
      </c>
    </row>
    <row r="119" spans="1:13" x14ac:dyDescent="0.2">
      <c r="A119" t="s">
        <v>377</v>
      </c>
      <c r="B119" t="s">
        <v>58</v>
      </c>
      <c r="C119">
        <v>88390</v>
      </c>
      <c r="D119">
        <v>4057</v>
      </c>
      <c r="E119">
        <v>4.59</v>
      </c>
      <c r="F119">
        <v>517.66999999999996</v>
      </c>
      <c r="G119">
        <v>0.13</v>
      </c>
      <c r="H119">
        <v>236</v>
      </c>
      <c r="I119">
        <v>5.82</v>
      </c>
      <c r="J119">
        <v>15386.32</v>
      </c>
      <c r="K119">
        <v>29.72</v>
      </c>
      <c r="L119">
        <v>2.19</v>
      </c>
      <c r="M119">
        <v>236</v>
      </c>
    </row>
    <row r="120" spans="1:13" x14ac:dyDescent="0.2">
      <c r="A120" t="s">
        <v>377</v>
      </c>
      <c r="B120" t="s">
        <v>35</v>
      </c>
      <c r="C120">
        <v>110122</v>
      </c>
      <c r="D120">
        <v>1327</v>
      </c>
      <c r="E120">
        <v>1.21</v>
      </c>
      <c r="F120">
        <v>1492.02</v>
      </c>
      <c r="G120">
        <v>1.1200000000000001</v>
      </c>
      <c r="H120">
        <v>25</v>
      </c>
      <c r="I120">
        <v>1.88</v>
      </c>
      <c r="J120">
        <v>1464.5</v>
      </c>
      <c r="K120">
        <v>0.98</v>
      </c>
      <c r="L120">
        <v>59.68</v>
      </c>
      <c r="M120">
        <v>25</v>
      </c>
    </row>
    <row r="121" spans="1:13" x14ac:dyDescent="0.2">
      <c r="A121" t="s">
        <v>377</v>
      </c>
      <c r="B121" t="s">
        <v>32</v>
      </c>
      <c r="C121">
        <v>130049</v>
      </c>
      <c r="D121">
        <v>3744</v>
      </c>
      <c r="E121">
        <v>2.88</v>
      </c>
      <c r="F121">
        <v>327.84</v>
      </c>
      <c r="G121">
        <v>0.09</v>
      </c>
      <c r="H121">
        <v>141</v>
      </c>
      <c r="I121">
        <v>3.77</v>
      </c>
      <c r="J121">
        <v>9381.99</v>
      </c>
      <c r="K121">
        <v>28.62</v>
      </c>
      <c r="L121">
        <v>2.33</v>
      </c>
      <c r="M121">
        <v>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15C6-0131-104E-8BBB-07852560BA48}">
  <dimension ref="A1:X121"/>
  <sheetViews>
    <sheetView topLeftCell="H1" zoomScale="87" workbookViewId="0">
      <selection activeCell="Q38" sqref="Q38"/>
    </sheetView>
  </sheetViews>
  <sheetFormatPr baseColWidth="10" defaultColWidth="8.83203125" defaultRowHeight="15" x14ac:dyDescent="0.2"/>
  <cols>
    <col min="2" max="2" width="9.83203125" bestFit="1" customWidth="1"/>
    <col min="3" max="3" width="14.5" customWidth="1"/>
    <col min="7" max="7" width="10.33203125" customWidth="1"/>
    <col min="8" max="9" width="13.33203125" customWidth="1"/>
    <col min="10" max="10" width="12" customWidth="1"/>
    <col min="12" max="12" width="10.33203125" customWidth="1"/>
    <col min="13" max="13" width="17" customWidth="1"/>
    <col min="15" max="15" width="18.6640625" bestFit="1" customWidth="1"/>
    <col min="16" max="17" width="17.5" customWidth="1"/>
    <col min="18" max="18" width="9.6640625" bestFit="1" customWidth="1"/>
    <col min="19" max="19" width="13" bestFit="1" customWidth="1"/>
    <col min="20" max="20" width="14" bestFit="1" customWidth="1"/>
    <col min="21" max="21" width="14.1640625" bestFit="1" customWidth="1"/>
    <col min="22" max="22" width="16" bestFit="1" customWidth="1"/>
    <col min="23" max="23" width="10.1640625" bestFit="1" customWidth="1"/>
    <col min="24" max="24" width="13.1640625" bestFit="1" customWidth="1"/>
    <col min="25" max="25" width="15.33203125" customWidth="1"/>
  </cols>
  <sheetData>
    <row r="1" spans="1:24" s="22" customFormat="1" ht="55" customHeight="1" x14ac:dyDescent="0.25">
      <c r="A1" s="21" t="s">
        <v>341</v>
      </c>
      <c r="B1" s="21" t="s">
        <v>342</v>
      </c>
      <c r="C1" s="21" t="s">
        <v>343</v>
      </c>
      <c r="D1" s="21" t="s">
        <v>344</v>
      </c>
      <c r="E1" s="21" t="s">
        <v>345</v>
      </c>
      <c r="F1" s="21" t="s">
        <v>346</v>
      </c>
      <c r="G1" s="21" t="s">
        <v>347</v>
      </c>
      <c r="H1" s="21" t="s">
        <v>348</v>
      </c>
      <c r="I1" s="21" t="s">
        <v>349</v>
      </c>
      <c r="J1" s="21" t="s">
        <v>350</v>
      </c>
      <c r="K1" s="21" t="s">
        <v>351</v>
      </c>
      <c r="L1" s="21" t="s">
        <v>352</v>
      </c>
      <c r="M1" s="21" t="s">
        <v>353</v>
      </c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x14ac:dyDescent="0.2">
      <c r="A2" t="s">
        <v>354</v>
      </c>
      <c r="B2" t="s">
        <v>23</v>
      </c>
      <c r="C2">
        <v>166750</v>
      </c>
      <c r="D2">
        <v>5491</v>
      </c>
      <c r="E2">
        <v>3.29</v>
      </c>
      <c r="F2">
        <v>9162.3799999999992</v>
      </c>
      <c r="G2">
        <v>1.67</v>
      </c>
      <c r="H2">
        <v>219</v>
      </c>
      <c r="I2">
        <v>3.99</v>
      </c>
      <c r="J2">
        <v>13178.74</v>
      </c>
      <c r="K2">
        <v>1.44</v>
      </c>
      <c r="L2">
        <v>41.84</v>
      </c>
      <c r="M2">
        <v>219</v>
      </c>
    </row>
    <row r="3" spans="1:24" x14ac:dyDescent="0.2">
      <c r="A3" t="s">
        <v>354</v>
      </c>
      <c r="B3" t="s">
        <v>37</v>
      </c>
      <c r="C3">
        <v>288476</v>
      </c>
      <c r="D3">
        <v>4768</v>
      </c>
      <c r="E3">
        <v>1.65</v>
      </c>
      <c r="F3">
        <v>4387.63</v>
      </c>
      <c r="G3">
        <v>0.92</v>
      </c>
      <c r="H3">
        <v>92</v>
      </c>
      <c r="I3">
        <v>1.93</v>
      </c>
      <c r="J3">
        <v>4831.6400000000003</v>
      </c>
      <c r="K3">
        <v>1.1000000000000001</v>
      </c>
      <c r="L3">
        <v>47.69</v>
      </c>
      <c r="M3">
        <v>92</v>
      </c>
      <c r="O3" s="26" t="s">
        <v>455</v>
      </c>
      <c r="P3" s="26" t="s">
        <v>456</v>
      </c>
    </row>
    <row r="4" spans="1:24" x14ac:dyDescent="0.2">
      <c r="A4" t="s">
        <v>354</v>
      </c>
      <c r="B4" t="s">
        <v>58</v>
      </c>
      <c r="C4">
        <v>99725</v>
      </c>
      <c r="D4">
        <v>4444</v>
      </c>
      <c r="E4">
        <v>4.46</v>
      </c>
      <c r="F4">
        <v>580.66999999999996</v>
      </c>
      <c r="G4">
        <v>0.13</v>
      </c>
      <c r="H4">
        <v>252</v>
      </c>
      <c r="I4">
        <v>5.67</v>
      </c>
      <c r="J4">
        <v>18091.439999999999</v>
      </c>
      <c r="K4">
        <v>31.16</v>
      </c>
      <c r="L4">
        <v>2.2999999999999998</v>
      </c>
      <c r="M4">
        <v>252</v>
      </c>
      <c r="O4" s="26" t="s">
        <v>440</v>
      </c>
      <c r="P4" t="s">
        <v>441</v>
      </c>
      <c r="Q4" t="s">
        <v>442</v>
      </c>
      <c r="R4" t="s">
        <v>443</v>
      </c>
      <c r="S4" t="s">
        <v>444</v>
      </c>
      <c r="T4" t="s">
        <v>445</v>
      </c>
      <c r="U4" t="s">
        <v>446</v>
      </c>
      <c r="V4" t="s">
        <v>447</v>
      </c>
      <c r="W4" t="s">
        <v>448</v>
      </c>
      <c r="X4" s="30" t="s">
        <v>466</v>
      </c>
    </row>
    <row r="5" spans="1:24" x14ac:dyDescent="0.2">
      <c r="A5" t="s">
        <v>354</v>
      </c>
      <c r="B5" t="s">
        <v>35</v>
      </c>
      <c r="C5">
        <v>127588</v>
      </c>
      <c r="D5">
        <v>1606</v>
      </c>
      <c r="E5">
        <v>1.26</v>
      </c>
      <c r="F5">
        <v>1841.46</v>
      </c>
      <c r="G5">
        <v>1.1499999999999999</v>
      </c>
      <c r="H5">
        <v>35</v>
      </c>
      <c r="I5">
        <v>2.1800000000000002</v>
      </c>
      <c r="J5">
        <v>1979.92</v>
      </c>
      <c r="K5">
        <v>1.08</v>
      </c>
      <c r="L5">
        <v>52.61</v>
      </c>
      <c r="M5">
        <v>35</v>
      </c>
      <c r="O5" s="27" t="s">
        <v>58</v>
      </c>
      <c r="P5">
        <v>2</v>
      </c>
      <c r="Q5">
        <v>3</v>
      </c>
      <c r="R5">
        <v>11</v>
      </c>
      <c r="S5">
        <v>11</v>
      </c>
      <c r="T5">
        <v>3</v>
      </c>
      <c r="U5">
        <v>1</v>
      </c>
      <c r="V5">
        <v>6</v>
      </c>
      <c r="W5">
        <v>37</v>
      </c>
      <c r="X5" s="31">
        <f>GETPIVOTDATA("Customer_ID",$O$3,"Acquisition_Channel","Email","RFM_segment","Champions")/GETPIVOTDATA("Customer_ID",$O$3,"Acquisition_Channel","Email")</f>
        <v>0.29729729729729731</v>
      </c>
    </row>
    <row r="6" spans="1:24" x14ac:dyDescent="0.2">
      <c r="A6" t="s">
        <v>354</v>
      </c>
      <c r="B6" t="s">
        <v>32</v>
      </c>
      <c r="C6">
        <v>136769</v>
      </c>
      <c r="D6">
        <v>4051</v>
      </c>
      <c r="E6">
        <v>2.96</v>
      </c>
      <c r="F6">
        <v>325.57</v>
      </c>
      <c r="G6">
        <v>0.08</v>
      </c>
      <c r="H6">
        <v>184</v>
      </c>
      <c r="I6">
        <v>4.54</v>
      </c>
      <c r="J6">
        <v>11864.43</v>
      </c>
      <c r="K6">
        <v>36.44</v>
      </c>
      <c r="L6">
        <v>1.77</v>
      </c>
      <c r="M6">
        <v>184</v>
      </c>
      <c r="O6" s="27" t="s">
        <v>35</v>
      </c>
      <c r="P6">
        <v>3</v>
      </c>
      <c r="Q6">
        <v>3</v>
      </c>
      <c r="R6">
        <v>15</v>
      </c>
      <c r="S6">
        <v>10</v>
      </c>
      <c r="T6">
        <v>3</v>
      </c>
      <c r="U6">
        <v>2</v>
      </c>
      <c r="V6">
        <v>8</v>
      </c>
      <c r="W6">
        <v>44</v>
      </c>
      <c r="X6" s="31">
        <f>GETPIVOTDATA("Customer_ID",$O$3,"Acquisition_Channel","Influencer","RFM_segment","Champions")/GETPIVOTDATA("Customer_ID",$O$3,"Acquisition_Channel","Influencer")</f>
        <v>0.34090909090909088</v>
      </c>
    </row>
    <row r="7" spans="1:24" x14ac:dyDescent="0.2">
      <c r="A7" t="s">
        <v>355</v>
      </c>
      <c r="B7" t="s">
        <v>23</v>
      </c>
      <c r="C7">
        <v>177097</v>
      </c>
      <c r="D7">
        <v>6527</v>
      </c>
      <c r="E7">
        <v>3.69</v>
      </c>
      <c r="F7">
        <v>10326.879999999999</v>
      </c>
      <c r="G7">
        <v>1.58</v>
      </c>
      <c r="H7">
        <v>218</v>
      </c>
      <c r="I7">
        <v>3.34</v>
      </c>
      <c r="J7">
        <v>14300.71</v>
      </c>
      <c r="K7">
        <v>1.38</v>
      </c>
      <c r="L7">
        <v>47.37</v>
      </c>
      <c r="M7">
        <v>218</v>
      </c>
      <c r="O7" s="27" t="s">
        <v>32</v>
      </c>
      <c r="P7">
        <v>9</v>
      </c>
      <c r="Q7">
        <v>2</v>
      </c>
      <c r="R7">
        <v>13</v>
      </c>
      <c r="S7">
        <v>15</v>
      </c>
      <c r="T7">
        <v>4</v>
      </c>
      <c r="U7">
        <v>2</v>
      </c>
      <c r="V7">
        <v>10</v>
      </c>
      <c r="W7">
        <v>55</v>
      </c>
      <c r="X7" s="31">
        <f>GETPIVOTDATA("Customer_ID",$O$3,"Acquisition_Channel","Organic","RFM_segment","Champions")/GETPIVOTDATA("Customer_ID",$O$3,"Acquisition_Channel","Organic")</f>
        <v>0.23636363636363636</v>
      </c>
    </row>
    <row r="8" spans="1:24" x14ac:dyDescent="0.2">
      <c r="A8" t="s">
        <v>355</v>
      </c>
      <c r="B8" t="s">
        <v>37</v>
      </c>
      <c r="C8">
        <v>276397</v>
      </c>
      <c r="D8">
        <v>4853</v>
      </c>
      <c r="E8">
        <v>1.76</v>
      </c>
      <c r="F8">
        <v>4276.6099999999997</v>
      </c>
      <c r="G8">
        <v>0.88</v>
      </c>
      <c r="H8">
        <v>96</v>
      </c>
      <c r="I8">
        <v>1.98</v>
      </c>
      <c r="J8">
        <v>5054.1400000000003</v>
      </c>
      <c r="K8">
        <v>1.18</v>
      </c>
      <c r="L8">
        <v>44.55</v>
      </c>
      <c r="M8">
        <v>96</v>
      </c>
      <c r="O8" s="27" t="s">
        <v>23</v>
      </c>
      <c r="P8">
        <v>3</v>
      </c>
      <c r="Q8">
        <v>4</v>
      </c>
      <c r="R8">
        <v>14</v>
      </c>
      <c r="S8">
        <v>10</v>
      </c>
      <c r="T8">
        <v>9</v>
      </c>
      <c r="U8">
        <v>3</v>
      </c>
      <c r="V8">
        <v>16</v>
      </c>
      <c r="W8">
        <v>59</v>
      </c>
      <c r="X8" s="31">
        <f>GETPIVOTDATA("Customer_ID",$O$3,"Acquisition_Channel","Paid Search","RFM_segment","Champions")/GETPIVOTDATA("Customer_ID",$O$3,"Acquisition_Channel","Paid Search")</f>
        <v>0.23728813559322035</v>
      </c>
    </row>
    <row r="9" spans="1:24" x14ac:dyDescent="0.2">
      <c r="A9" t="s">
        <v>355</v>
      </c>
      <c r="B9" t="s">
        <v>58</v>
      </c>
      <c r="C9">
        <v>99798</v>
      </c>
      <c r="D9">
        <v>4238</v>
      </c>
      <c r="E9">
        <v>4.25</v>
      </c>
      <c r="F9">
        <v>551.55999999999995</v>
      </c>
      <c r="G9">
        <v>0.13</v>
      </c>
      <c r="H9">
        <v>278</v>
      </c>
      <c r="I9">
        <v>6.56</v>
      </c>
      <c r="J9">
        <v>19935.28</v>
      </c>
      <c r="K9">
        <v>36.14</v>
      </c>
      <c r="L9">
        <v>1.98</v>
      </c>
      <c r="M9">
        <v>278</v>
      </c>
      <c r="O9" s="27" t="s">
        <v>37</v>
      </c>
      <c r="P9">
        <v>7</v>
      </c>
      <c r="Q9">
        <v>2</v>
      </c>
      <c r="R9">
        <v>11</v>
      </c>
      <c r="S9">
        <v>18</v>
      </c>
      <c r="T9">
        <v>10</v>
      </c>
      <c r="U9">
        <v>5</v>
      </c>
      <c r="V9">
        <v>23</v>
      </c>
      <c r="W9">
        <v>76</v>
      </c>
      <c r="X9" s="31">
        <f>GETPIVOTDATA("Customer_ID",$O$3,"Acquisition_Channel","Paid Social","RFM_segment","Champions")/GETPIVOTDATA("Customer_ID",$O$3,"Acquisition_Channel","Paid Social")</f>
        <v>0.14473684210526316</v>
      </c>
    </row>
    <row r="10" spans="1:24" x14ac:dyDescent="0.2">
      <c r="A10" t="s">
        <v>355</v>
      </c>
      <c r="B10" t="s">
        <v>35</v>
      </c>
      <c r="C10">
        <v>123461</v>
      </c>
      <c r="D10">
        <v>1619</v>
      </c>
      <c r="E10">
        <v>1.31</v>
      </c>
      <c r="F10">
        <v>2058.56</v>
      </c>
      <c r="G10">
        <v>1.27</v>
      </c>
      <c r="H10">
        <v>29</v>
      </c>
      <c r="I10">
        <v>1.79</v>
      </c>
      <c r="J10">
        <v>1700.78</v>
      </c>
      <c r="K10">
        <v>0.83</v>
      </c>
      <c r="L10">
        <v>70.98</v>
      </c>
      <c r="M10">
        <v>29</v>
      </c>
      <c r="O10" s="27" t="s">
        <v>28</v>
      </c>
      <c r="P10">
        <v>1</v>
      </c>
      <c r="R10">
        <v>6</v>
      </c>
      <c r="S10">
        <v>3</v>
      </c>
      <c r="T10">
        <v>6</v>
      </c>
      <c r="U10">
        <v>1</v>
      </c>
      <c r="V10">
        <v>12</v>
      </c>
      <c r="W10">
        <v>29</v>
      </c>
      <c r="X10" s="31">
        <f>GETPIVOTDATA("Customer_ID",$O$3,"Acquisition_Channel","Referral","RFM_segment","Champions")/GETPIVOTDATA("Customer_ID",$O$3,"Acquisition_Channel","Referral")</f>
        <v>0.20689655172413793</v>
      </c>
    </row>
    <row r="11" spans="1:24" x14ac:dyDescent="0.2">
      <c r="A11" t="s">
        <v>355</v>
      </c>
      <c r="B11" t="s">
        <v>32</v>
      </c>
      <c r="C11">
        <v>172463</v>
      </c>
      <c r="D11">
        <v>4396</v>
      </c>
      <c r="E11">
        <v>2.5499999999999998</v>
      </c>
      <c r="F11">
        <v>390.9</v>
      </c>
      <c r="G11">
        <v>0.09</v>
      </c>
      <c r="H11">
        <v>191</v>
      </c>
      <c r="I11">
        <v>4.34</v>
      </c>
      <c r="J11">
        <v>12770.49</v>
      </c>
      <c r="K11">
        <v>32.67</v>
      </c>
      <c r="L11">
        <v>2.0499999999999998</v>
      </c>
      <c r="M11">
        <v>191</v>
      </c>
      <c r="O11" s="27" t="s">
        <v>448</v>
      </c>
      <c r="P11">
        <v>25</v>
      </c>
      <c r="Q11">
        <v>14</v>
      </c>
      <c r="R11">
        <v>70</v>
      </c>
      <c r="S11">
        <v>67</v>
      </c>
      <c r="T11">
        <v>35</v>
      </c>
      <c r="U11">
        <v>14</v>
      </c>
      <c r="V11">
        <v>75</v>
      </c>
      <c r="W11">
        <v>300</v>
      </c>
    </row>
    <row r="12" spans="1:24" x14ac:dyDescent="0.2">
      <c r="A12" t="s">
        <v>356</v>
      </c>
      <c r="B12" t="s">
        <v>23</v>
      </c>
      <c r="C12">
        <v>187671</v>
      </c>
      <c r="D12">
        <v>6091</v>
      </c>
      <c r="E12">
        <v>3.25</v>
      </c>
      <c r="F12">
        <v>10453.629999999999</v>
      </c>
      <c r="G12">
        <v>1.72</v>
      </c>
      <c r="H12">
        <v>210</v>
      </c>
      <c r="I12">
        <v>3.45</v>
      </c>
      <c r="J12">
        <v>13883.56</v>
      </c>
      <c r="K12">
        <v>1.33</v>
      </c>
      <c r="L12">
        <v>49.78</v>
      </c>
      <c r="M12">
        <v>210</v>
      </c>
    </row>
    <row r="13" spans="1:24" x14ac:dyDescent="0.2">
      <c r="A13" t="s">
        <v>356</v>
      </c>
      <c r="B13" t="s">
        <v>37</v>
      </c>
      <c r="C13">
        <v>278698</v>
      </c>
      <c r="D13">
        <v>4409</v>
      </c>
      <c r="E13">
        <v>1.58</v>
      </c>
      <c r="F13">
        <v>3501.07</v>
      </c>
      <c r="G13">
        <v>0.79</v>
      </c>
      <c r="H13">
        <v>81</v>
      </c>
      <c r="I13">
        <v>1.84</v>
      </c>
      <c r="J13">
        <v>4351.4799999999996</v>
      </c>
      <c r="K13">
        <v>1.24</v>
      </c>
      <c r="L13">
        <v>43.22</v>
      </c>
      <c r="M13">
        <v>81</v>
      </c>
    </row>
    <row r="14" spans="1:24" x14ac:dyDescent="0.2">
      <c r="A14" t="s">
        <v>356</v>
      </c>
      <c r="B14" t="s">
        <v>58</v>
      </c>
      <c r="C14">
        <v>95956</v>
      </c>
      <c r="D14">
        <v>4319</v>
      </c>
      <c r="E14">
        <v>4.5</v>
      </c>
      <c r="F14">
        <v>505.69</v>
      </c>
      <c r="G14">
        <v>0.12</v>
      </c>
      <c r="H14">
        <v>273</v>
      </c>
      <c r="I14">
        <v>6.32</v>
      </c>
      <c r="J14">
        <v>18862.88</v>
      </c>
      <c r="K14">
        <v>37.299999999999997</v>
      </c>
      <c r="L14">
        <v>1.85</v>
      </c>
      <c r="M14">
        <v>273</v>
      </c>
      <c r="O14" s="32" t="s">
        <v>458</v>
      </c>
    </row>
    <row r="15" spans="1:24" x14ac:dyDescent="0.2">
      <c r="A15" t="s">
        <v>356</v>
      </c>
      <c r="B15" t="s">
        <v>35</v>
      </c>
      <c r="C15">
        <v>142594</v>
      </c>
      <c r="D15">
        <v>1730</v>
      </c>
      <c r="E15">
        <v>1.21</v>
      </c>
      <c r="F15">
        <v>2100.3000000000002</v>
      </c>
      <c r="G15">
        <v>1.21</v>
      </c>
      <c r="H15">
        <v>31</v>
      </c>
      <c r="I15">
        <v>1.79</v>
      </c>
      <c r="J15">
        <v>1973.14</v>
      </c>
      <c r="K15">
        <v>0.94</v>
      </c>
      <c r="L15">
        <v>67.75</v>
      </c>
      <c r="M15">
        <v>31</v>
      </c>
      <c r="O15" s="30" t="s">
        <v>459</v>
      </c>
      <c r="P15" s="30" t="s">
        <v>460</v>
      </c>
      <c r="Q15" s="30" t="s">
        <v>464</v>
      </c>
    </row>
    <row r="16" spans="1:24" x14ac:dyDescent="0.2">
      <c r="A16" t="s">
        <v>356</v>
      </c>
      <c r="B16" t="s">
        <v>32</v>
      </c>
      <c r="C16">
        <v>155654</v>
      </c>
      <c r="D16">
        <v>3992</v>
      </c>
      <c r="E16">
        <v>2.56</v>
      </c>
      <c r="F16">
        <v>334.02</v>
      </c>
      <c r="G16">
        <v>0.08</v>
      </c>
      <c r="H16">
        <v>170</v>
      </c>
      <c r="I16">
        <v>4.26</v>
      </c>
      <c r="J16">
        <v>11013.52</v>
      </c>
      <c r="K16">
        <v>32.97</v>
      </c>
      <c r="L16">
        <v>1.96</v>
      </c>
      <c r="M16">
        <v>170</v>
      </c>
      <c r="O16" t="s">
        <v>58</v>
      </c>
      <c r="P16" s="33">
        <f>AVERAGEIF($B:$B,"Email",$K:$K)</f>
        <v>36.465416666666677</v>
      </c>
      <c r="Q16" s="28">
        <f>AVERAGEIF($B:$B,"Email",$L:$L)</f>
        <v>1.9095833333333332</v>
      </c>
    </row>
    <row r="17" spans="1:17" x14ac:dyDescent="0.2">
      <c r="A17" t="s">
        <v>357</v>
      </c>
      <c r="B17" t="s">
        <v>23</v>
      </c>
      <c r="C17">
        <v>196590</v>
      </c>
      <c r="D17">
        <v>7170</v>
      </c>
      <c r="E17">
        <v>3.65</v>
      </c>
      <c r="F17">
        <v>10480.66</v>
      </c>
      <c r="G17">
        <v>1.46</v>
      </c>
      <c r="H17">
        <v>284</v>
      </c>
      <c r="I17">
        <v>3.96</v>
      </c>
      <c r="J17">
        <v>18441.07</v>
      </c>
      <c r="K17">
        <v>1.76</v>
      </c>
      <c r="L17">
        <v>36.9</v>
      </c>
      <c r="M17">
        <v>284</v>
      </c>
      <c r="O17" t="s">
        <v>461</v>
      </c>
      <c r="P17">
        <f>AVERAGEIF($B:$B,"Influencer",$K:$K)</f>
        <v>0.9900000000000001</v>
      </c>
      <c r="Q17" s="28">
        <f>AVERAGEIF($B:$B,"Influencer",$L:$L)</f>
        <v>60.415833333333325</v>
      </c>
    </row>
    <row r="18" spans="1:17" x14ac:dyDescent="0.2">
      <c r="A18" t="s">
        <v>357</v>
      </c>
      <c r="B18" t="s">
        <v>37</v>
      </c>
      <c r="C18">
        <v>283761</v>
      </c>
      <c r="D18">
        <v>4827</v>
      </c>
      <c r="E18">
        <v>1.7</v>
      </c>
      <c r="F18">
        <v>4062.82</v>
      </c>
      <c r="G18">
        <v>0.84</v>
      </c>
      <c r="H18">
        <v>94</v>
      </c>
      <c r="I18">
        <v>1.95</v>
      </c>
      <c r="J18">
        <v>4730.05</v>
      </c>
      <c r="K18">
        <v>1.1599999999999999</v>
      </c>
      <c r="L18">
        <v>43.22</v>
      </c>
      <c r="M18">
        <v>94</v>
      </c>
      <c r="O18" t="s">
        <v>462</v>
      </c>
      <c r="P18" s="33">
        <f>AVERAGEIF($B:$B,"Organic",$K:$K)</f>
        <v>33.825833333333335</v>
      </c>
      <c r="Q18" s="28">
        <f>AVERAGEIF($B:$B,"Organic",$L:$L)</f>
        <v>1.9774999999999998</v>
      </c>
    </row>
    <row r="19" spans="1:17" x14ac:dyDescent="0.2">
      <c r="A19" t="s">
        <v>357</v>
      </c>
      <c r="B19" t="s">
        <v>58</v>
      </c>
      <c r="C19">
        <v>96088</v>
      </c>
      <c r="D19">
        <v>4557</v>
      </c>
      <c r="E19">
        <v>4.74</v>
      </c>
      <c r="F19">
        <v>611.95000000000005</v>
      </c>
      <c r="G19">
        <v>0.13</v>
      </c>
      <c r="H19">
        <v>281</v>
      </c>
      <c r="I19">
        <v>6.17</v>
      </c>
      <c r="J19">
        <v>20791.490000000002</v>
      </c>
      <c r="K19">
        <v>33.979999999999997</v>
      </c>
      <c r="L19">
        <v>2.1800000000000002</v>
      </c>
      <c r="M19">
        <v>281</v>
      </c>
      <c r="O19" t="s">
        <v>23</v>
      </c>
      <c r="P19" s="33">
        <f>AVERAGEIF($B:$B,"Paid Search",$K:$K)</f>
        <v>1.4704166666666669</v>
      </c>
      <c r="Q19" s="28">
        <f>AVERAGEIF($B:$B,"Paid Search",$L:$L)</f>
        <v>44.092083333333335</v>
      </c>
    </row>
    <row r="20" spans="1:17" x14ac:dyDescent="0.2">
      <c r="A20" t="s">
        <v>357</v>
      </c>
      <c r="B20" t="s">
        <v>35</v>
      </c>
      <c r="C20">
        <v>128819</v>
      </c>
      <c r="D20">
        <v>1409</v>
      </c>
      <c r="E20">
        <v>1.0900000000000001</v>
      </c>
      <c r="F20">
        <v>1597.69</v>
      </c>
      <c r="G20">
        <v>1.1299999999999999</v>
      </c>
      <c r="H20">
        <v>27</v>
      </c>
      <c r="I20">
        <v>1.92</v>
      </c>
      <c r="J20">
        <v>1539.29</v>
      </c>
      <c r="K20">
        <v>0.96</v>
      </c>
      <c r="L20">
        <v>59.17</v>
      </c>
      <c r="M20">
        <v>27</v>
      </c>
      <c r="O20" t="s">
        <v>37</v>
      </c>
      <c r="P20" s="33">
        <f>AVERAGEIF($B:$B,"Paid Social",$K:$K)</f>
        <v>1.0654166666666669</v>
      </c>
      <c r="Q20" s="28">
        <f>AVERAGEIF($B:$B,"Paid Social",$L:$L)</f>
        <v>47.853749999999998</v>
      </c>
    </row>
    <row r="21" spans="1:17" x14ac:dyDescent="0.2">
      <c r="A21" t="s">
        <v>357</v>
      </c>
      <c r="B21" t="s">
        <v>32</v>
      </c>
      <c r="C21">
        <v>148508</v>
      </c>
      <c r="D21">
        <v>4579</v>
      </c>
      <c r="E21">
        <v>3.08</v>
      </c>
      <c r="F21">
        <v>397.7</v>
      </c>
      <c r="G21">
        <v>0.09</v>
      </c>
      <c r="H21">
        <v>202</v>
      </c>
      <c r="I21">
        <v>4.41</v>
      </c>
      <c r="J21">
        <v>12607.03</v>
      </c>
      <c r="K21">
        <v>31.7</v>
      </c>
      <c r="L21">
        <v>1.97</v>
      </c>
      <c r="M21">
        <v>202</v>
      </c>
    </row>
    <row r="22" spans="1:17" x14ac:dyDescent="0.2">
      <c r="A22" t="s">
        <v>358</v>
      </c>
      <c r="B22" t="s">
        <v>23</v>
      </c>
      <c r="C22">
        <v>181208</v>
      </c>
      <c r="D22">
        <v>5636</v>
      </c>
      <c r="E22">
        <v>3.11</v>
      </c>
      <c r="F22">
        <v>9253.7099999999991</v>
      </c>
      <c r="G22">
        <v>1.64</v>
      </c>
      <c r="H22">
        <v>229</v>
      </c>
      <c r="I22">
        <v>4.0599999999999996</v>
      </c>
      <c r="J22">
        <v>14405.01</v>
      </c>
      <c r="K22">
        <v>1.56</v>
      </c>
      <c r="L22">
        <v>40.409999999999997</v>
      </c>
      <c r="M22">
        <v>229</v>
      </c>
    </row>
    <row r="23" spans="1:17" x14ac:dyDescent="0.2">
      <c r="A23" t="s">
        <v>358</v>
      </c>
      <c r="B23" t="s">
        <v>37</v>
      </c>
      <c r="C23">
        <v>261670</v>
      </c>
      <c r="D23">
        <v>4505</v>
      </c>
      <c r="E23">
        <v>1.72</v>
      </c>
      <c r="F23">
        <v>3872.2</v>
      </c>
      <c r="G23">
        <v>0.86</v>
      </c>
      <c r="H23">
        <v>79</v>
      </c>
      <c r="I23">
        <v>1.75</v>
      </c>
      <c r="J23">
        <v>4038.23</v>
      </c>
      <c r="K23">
        <v>1.04</v>
      </c>
      <c r="L23">
        <v>49.02</v>
      </c>
      <c r="M23">
        <v>79</v>
      </c>
      <c r="O23" s="30" t="s">
        <v>463</v>
      </c>
    </row>
    <row r="24" spans="1:17" x14ac:dyDescent="0.2">
      <c r="A24" t="s">
        <v>358</v>
      </c>
      <c r="B24" t="s">
        <v>58</v>
      </c>
      <c r="C24">
        <v>103477</v>
      </c>
      <c r="D24">
        <v>4399</v>
      </c>
      <c r="E24">
        <v>4.25</v>
      </c>
      <c r="F24">
        <v>479.23</v>
      </c>
      <c r="G24">
        <v>0.11</v>
      </c>
      <c r="H24">
        <v>313</v>
      </c>
      <c r="I24">
        <v>7.12</v>
      </c>
      <c r="J24">
        <v>20962.810000000001</v>
      </c>
      <c r="K24">
        <v>43.74</v>
      </c>
      <c r="L24">
        <v>1.53</v>
      </c>
      <c r="M24">
        <v>313</v>
      </c>
      <c r="O24" t="s">
        <v>342</v>
      </c>
      <c r="P24" t="s">
        <v>464</v>
      </c>
      <c r="Q24" t="s">
        <v>457</v>
      </c>
    </row>
    <row r="25" spans="1:17" x14ac:dyDescent="0.2">
      <c r="A25" t="s">
        <v>358</v>
      </c>
      <c r="B25" t="s">
        <v>35</v>
      </c>
      <c r="C25">
        <v>118897</v>
      </c>
      <c r="D25">
        <v>1343</v>
      </c>
      <c r="E25">
        <v>1.1299999999999999</v>
      </c>
      <c r="F25">
        <v>1464.25</v>
      </c>
      <c r="G25">
        <v>1.0900000000000001</v>
      </c>
      <c r="H25">
        <v>26</v>
      </c>
      <c r="I25">
        <v>1.94</v>
      </c>
      <c r="J25">
        <v>1614.1</v>
      </c>
      <c r="K25">
        <v>1.1000000000000001</v>
      </c>
      <c r="L25">
        <v>56.32</v>
      </c>
      <c r="M25">
        <v>26</v>
      </c>
      <c r="O25" s="27" t="s">
        <v>58</v>
      </c>
      <c r="P25" s="34">
        <v>1.91</v>
      </c>
      <c r="Q25" s="31">
        <f>GETPIVOTDATA("Customer_ID",$O$3,"Acquisition_Channel","Email","RFM_segment","Champions")/GETPIVOTDATA("Customer_ID",$O$3,"Acquisition_Channel","Email")</f>
        <v>0.29729729729729731</v>
      </c>
    </row>
    <row r="26" spans="1:17" x14ac:dyDescent="0.2">
      <c r="A26" t="s">
        <v>358</v>
      </c>
      <c r="B26" t="s">
        <v>32</v>
      </c>
      <c r="C26">
        <v>158927</v>
      </c>
      <c r="D26">
        <v>4439</v>
      </c>
      <c r="E26">
        <v>2.79</v>
      </c>
      <c r="F26">
        <v>372.39</v>
      </c>
      <c r="G26">
        <v>0.08</v>
      </c>
      <c r="H26">
        <v>185</v>
      </c>
      <c r="I26">
        <v>4.17</v>
      </c>
      <c r="J26">
        <v>12777.93</v>
      </c>
      <c r="K26">
        <v>34.31</v>
      </c>
      <c r="L26">
        <v>2.0099999999999998</v>
      </c>
      <c r="M26">
        <v>185</v>
      </c>
      <c r="O26" s="27" t="s">
        <v>35</v>
      </c>
      <c r="P26" s="35">
        <v>60.42</v>
      </c>
      <c r="Q26" s="31">
        <f>GETPIVOTDATA("Customer_ID",$O$3,"Acquisition_Channel","Influencer","RFM_segment","Champions")/GETPIVOTDATA("Customer_ID",$O$3,"Acquisition_Channel","Influencer")</f>
        <v>0.34090909090909088</v>
      </c>
    </row>
    <row r="27" spans="1:17" x14ac:dyDescent="0.2">
      <c r="A27" t="s">
        <v>359</v>
      </c>
      <c r="B27" t="s">
        <v>23</v>
      </c>
      <c r="C27">
        <v>206109</v>
      </c>
      <c r="D27">
        <v>6322</v>
      </c>
      <c r="E27">
        <v>3.07</v>
      </c>
      <c r="F27">
        <v>10496.5</v>
      </c>
      <c r="G27">
        <v>1.66</v>
      </c>
      <c r="H27">
        <v>228</v>
      </c>
      <c r="I27">
        <v>3.61</v>
      </c>
      <c r="J27">
        <v>15525.94</v>
      </c>
      <c r="K27">
        <v>1.48</v>
      </c>
      <c r="L27">
        <v>46.04</v>
      </c>
      <c r="M27">
        <v>228</v>
      </c>
      <c r="O27" s="27" t="s">
        <v>32</v>
      </c>
      <c r="P27" s="34">
        <v>1.98</v>
      </c>
      <c r="Q27" s="31">
        <f>GETPIVOTDATA("Customer_ID",$O$3,"Acquisition_Channel","Organic","RFM_segment","Champions")/GETPIVOTDATA("Customer_ID",$O$3,"Acquisition_Channel","Organic")</f>
        <v>0.23636363636363636</v>
      </c>
    </row>
    <row r="28" spans="1:17" x14ac:dyDescent="0.2">
      <c r="A28" t="s">
        <v>359</v>
      </c>
      <c r="B28" t="s">
        <v>37</v>
      </c>
      <c r="C28">
        <v>274722</v>
      </c>
      <c r="D28">
        <v>5217</v>
      </c>
      <c r="E28">
        <v>1.9</v>
      </c>
      <c r="F28">
        <v>4893.99</v>
      </c>
      <c r="G28">
        <v>0.94</v>
      </c>
      <c r="H28">
        <v>88</v>
      </c>
      <c r="I28">
        <v>1.69</v>
      </c>
      <c r="J28">
        <v>4444.63</v>
      </c>
      <c r="K28">
        <v>0.91</v>
      </c>
      <c r="L28">
        <v>55.61</v>
      </c>
      <c r="M28">
        <v>88</v>
      </c>
      <c r="O28" s="27" t="s">
        <v>23</v>
      </c>
      <c r="P28" s="35">
        <v>44.09</v>
      </c>
      <c r="Q28" s="31">
        <f>GETPIVOTDATA("Customer_ID",$O$3,"Acquisition_Channel","Paid Search","RFM_segment","Champions")/GETPIVOTDATA("Customer_ID",$O$3,"Acquisition_Channel","Paid Search")</f>
        <v>0.23728813559322035</v>
      </c>
    </row>
    <row r="29" spans="1:17" x14ac:dyDescent="0.2">
      <c r="A29" t="s">
        <v>359</v>
      </c>
      <c r="B29" t="s">
        <v>58</v>
      </c>
      <c r="C29">
        <v>105676</v>
      </c>
      <c r="D29">
        <v>5292</v>
      </c>
      <c r="E29">
        <v>5.01</v>
      </c>
      <c r="F29">
        <v>585.14</v>
      </c>
      <c r="G29">
        <v>0.11</v>
      </c>
      <c r="H29">
        <v>351</v>
      </c>
      <c r="I29">
        <v>6.63</v>
      </c>
      <c r="J29">
        <v>23911.84</v>
      </c>
      <c r="K29">
        <v>40.869999999999997</v>
      </c>
      <c r="L29">
        <v>1.67</v>
      </c>
      <c r="M29">
        <v>351</v>
      </c>
      <c r="O29" s="27" t="s">
        <v>37</v>
      </c>
      <c r="P29" s="34">
        <v>47.85</v>
      </c>
      <c r="Q29" s="31">
        <f>GETPIVOTDATA("Customer_ID",$O$3,"Acquisition_Channel","Paid Social","RFM_segment","Champions")/GETPIVOTDATA("Customer_ID",$O$3,"Acquisition_Channel","Paid Social")</f>
        <v>0.14473684210526316</v>
      </c>
    </row>
    <row r="30" spans="1:17" x14ac:dyDescent="0.2">
      <c r="A30" t="s">
        <v>359</v>
      </c>
      <c r="B30" t="s">
        <v>35</v>
      </c>
      <c r="C30">
        <v>113593</v>
      </c>
      <c r="D30">
        <v>1347</v>
      </c>
      <c r="E30">
        <v>1.19</v>
      </c>
      <c r="F30">
        <v>1538.24</v>
      </c>
      <c r="G30">
        <v>1.1399999999999999</v>
      </c>
      <c r="H30">
        <v>29</v>
      </c>
      <c r="I30">
        <v>2.15</v>
      </c>
      <c r="J30">
        <v>1683.01</v>
      </c>
      <c r="K30">
        <v>1.0900000000000001</v>
      </c>
      <c r="L30">
        <v>53.04</v>
      </c>
      <c r="M30">
        <v>29</v>
      </c>
      <c r="O30" s="27" t="s">
        <v>28</v>
      </c>
      <c r="P30" s="36" t="s">
        <v>467</v>
      </c>
      <c r="Q30" s="31">
        <f>GETPIVOTDATA("Customer_ID",$O$3,"Acquisition_Channel","Referral","RFM_segment","Champions")/GETPIVOTDATA("Customer_ID",$O$3,"Acquisition_Channel","Referral")</f>
        <v>0.20689655172413793</v>
      </c>
    </row>
    <row r="31" spans="1:17" x14ac:dyDescent="0.2">
      <c r="A31" t="s">
        <v>359</v>
      </c>
      <c r="B31" t="s">
        <v>32</v>
      </c>
      <c r="C31">
        <v>170423</v>
      </c>
      <c r="D31">
        <v>4295</v>
      </c>
      <c r="E31">
        <v>2.52</v>
      </c>
      <c r="F31">
        <v>332.51</v>
      </c>
      <c r="G31">
        <v>0.08</v>
      </c>
      <c r="H31">
        <v>166</v>
      </c>
      <c r="I31">
        <v>3.86</v>
      </c>
      <c r="J31">
        <v>10465.01</v>
      </c>
      <c r="K31">
        <v>31.47</v>
      </c>
      <c r="L31">
        <v>2</v>
      </c>
      <c r="M31">
        <v>166</v>
      </c>
    </row>
    <row r="32" spans="1:17" x14ac:dyDescent="0.2">
      <c r="A32" t="s">
        <v>360</v>
      </c>
      <c r="B32" t="s">
        <v>23</v>
      </c>
      <c r="C32">
        <v>164700</v>
      </c>
      <c r="D32">
        <v>5270</v>
      </c>
      <c r="E32">
        <v>3.2</v>
      </c>
      <c r="F32">
        <v>8350.01</v>
      </c>
      <c r="G32">
        <v>1.58</v>
      </c>
      <c r="H32">
        <v>181</v>
      </c>
      <c r="I32">
        <v>3.43</v>
      </c>
      <c r="J32">
        <v>11363.5</v>
      </c>
      <c r="K32">
        <v>1.36</v>
      </c>
      <c r="L32">
        <v>46.13</v>
      </c>
      <c r="M32">
        <v>181</v>
      </c>
      <c r="O32" t="s">
        <v>468</v>
      </c>
    </row>
    <row r="33" spans="1:13" x14ac:dyDescent="0.2">
      <c r="A33" t="s">
        <v>360</v>
      </c>
      <c r="B33" t="s">
        <v>37</v>
      </c>
      <c r="C33">
        <v>255556</v>
      </c>
      <c r="D33">
        <v>4747</v>
      </c>
      <c r="E33">
        <v>1.86</v>
      </c>
      <c r="F33">
        <v>4591.6099999999997</v>
      </c>
      <c r="G33">
        <v>0.97</v>
      </c>
      <c r="H33">
        <v>86</v>
      </c>
      <c r="I33">
        <v>1.81</v>
      </c>
      <c r="J33">
        <v>4211.99</v>
      </c>
      <c r="K33">
        <v>0.92</v>
      </c>
      <c r="L33">
        <v>53.39</v>
      </c>
      <c r="M33">
        <v>86</v>
      </c>
    </row>
    <row r="34" spans="1:13" x14ac:dyDescent="0.2">
      <c r="A34" t="s">
        <v>360</v>
      </c>
      <c r="B34" t="s">
        <v>58</v>
      </c>
      <c r="C34">
        <v>83114</v>
      </c>
      <c r="D34">
        <v>4242</v>
      </c>
      <c r="E34">
        <v>5.0999999999999996</v>
      </c>
      <c r="F34">
        <v>464.88</v>
      </c>
      <c r="G34">
        <v>0.11</v>
      </c>
      <c r="H34">
        <v>252</v>
      </c>
      <c r="I34">
        <v>5.94</v>
      </c>
      <c r="J34">
        <v>17045.349999999999</v>
      </c>
      <c r="K34">
        <v>36.67</v>
      </c>
      <c r="L34">
        <v>1.84</v>
      </c>
      <c r="M34">
        <v>252</v>
      </c>
    </row>
    <row r="35" spans="1:13" x14ac:dyDescent="0.2">
      <c r="A35" t="s">
        <v>360</v>
      </c>
      <c r="B35" t="s">
        <v>35</v>
      </c>
      <c r="C35">
        <v>116458</v>
      </c>
      <c r="D35">
        <v>1308</v>
      </c>
      <c r="E35">
        <v>1.1200000000000001</v>
      </c>
      <c r="F35">
        <v>1683.08</v>
      </c>
      <c r="G35">
        <v>1.29</v>
      </c>
      <c r="H35">
        <v>23</v>
      </c>
      <c r="I35">
        <v>1.76</v>
      </c>
      <c r="J35">
        <v>1394.34</v>
      </c>
      <c r="K35">
        <v>0.83</v>
      </c>
      <c r="L35">
        <v>73.180000000000007</v>
      </c>
      <c r="M35">
        <v>23</v>
      </c>
    </row>
    <row r="36" spans="1:13" x14ac:dyDescent="0.2">
      <c r="A36" t="s">
        <v>360</v>
      </c>
      <c r="B36" t="s">
        <v>32</v>
      </c>
      <c r="C36">
        <v>139086</v>
      </c>
      <c r="D36">
        <v>3565</v>
      </c>
      <c r="E36">
        <v>2.56</v>
      </c>
      <c r="F36">
        <v>313.74</v>
      </c>
      <c r="G36">
        <v>0.09</v>
      </c>
      <c r="H36">
        <v>136</v>
      </c>
      <c r="I36">
        <v>3.81</v>
      </c>
      <c r="J36">
        <v>9341.02</v>
      </c>
      <c r="K36">
        <v>29.77</v>
      </c>
      <c r="L36">
        <v>2.31</v>
      </c>
      <c r="M36">
        <v>136</v>
      </c>
    </row>
    <row r="37" spans="1:13" x14ac:dyDescent="0.2">
      <c r="A37" t="s">
        <v>361</v>
      </c>
      <c r="B37" t="s">
        <v>23</v>
      </c>
      <c r="C37">
        <v>174389</v>
      </c>
      <c r="D37">
        <v>5437</v>
      </c>
      <c r="E37">
        <v>3.12</v>
      </c>
      <c r="F37">
        <v>9356.0300000000007</v>
      </c>
      <c r="G37">
        <v>1.72</v>
      </c>
      <c r="H37">
        <v>185</v>
      </c>
      <c r="I37">
        <v>3.4</v>
      </c>
      <c r="J37">
        <v>12375.52</v>
      </c>
      <c r="K37">
        <v>1.32</v>
      </c>
      <c r="L37">
        <v>50.57</v>
      </c>
      <c r="M37">
        <v>185</v>
      </c>
    </row>
    <row r="38" spans="1:13" x14ac:dyDescent="0.2">
      <c r="A38" t="s">
        <v>361</v>
      </c>
      <c r="B38" t="s">
        <v>37</v>
      </c>
      <c r="C38">
        <v>231473</v>
      </c>
      <c r="D38">
        <v>4280</v>
      </c>
      <c r="E38">
        <v>1.85</v>
      </c>
      <c r="F38">
        <v>3400.72</v>
      </c>
      <c r="G38">
        <v>0.79</v>
      </c>
      <c r="H38">
        <v>78</v>
      </c>
      <c r="I38">
        <v>1.82</v>
      </c>
      <c r="J38">
        <v>4072.02</v>
      </c>
      <c r="K38">
        <v>1.2</v>
      </c>
      <c r="L38">
        <v>43.6</v>
      </c>
      <c r="M38">
        <v>78</v>
      </c>
    </row>
    <row r="39" spans="1:13" x14ac:dyDescent="0.2">
      <c r="A39" t="s">
        <v>361</v>
      </c>
      <c r="B39" t="s">
        <v>58</v>
      </c>
      <c r="C39">
        <v>94533</v>
      </c>
      <c r="D39">
        <v>4783</v>
      </c>
      <c r="E39">
        <v>5.0599999999999996</v>
      </c>
      <c r="F39">
        <v>620.05999999999995</v>
      </c>
      <c r="G39">
        <v>0.13</v>
      </c>
      <c r="H39">
        <v>332</v>
      </c>
      <c r="I39">
        <v>6.94</v>
      </c>
      <c r="J39">
        <v>22121.84</v>
      </c>
      <c r="K39">
        <v>35.68</v>
      </c>
      <c r="L39">
        <v>1.87</v>
      </c>
      <c r="M39">
        <v>332</v>
      </c>
    </row>
    <row r="40" spans="1:13" x14ac:dyDescent="0.2">
      <c r="A40" t="s">
        <v>361</v>
      </c>
      <c r="B40" t="s">
        <v>35</v>
      </c>
      <c r="C40">
        <v>109727</v>
      </c>
      <c r="D40">
        <v>1268</v>
      </c>
      <c r="E40">
        <v>1.1599999999999999</v>
      </c>
      <c r="F40">
        <v>1495.66</v>
      </c>
      <c r="G40">
        <v>1.18</v>
      </c>
      <c r="H40">
        <v>25</v>
      </c>
      <c r="I40">
        <v>1.97</v>
      </c>
      <c r="J40">
        <v>1495.94</v>
      </c>
      <c r="K40">
        <v>1</v>
      </c>
      <c r="L40">
        <v>59.83</v>
      </c>
      <c r="M40">
        <v>25</v>
      </c>
    </row>
    <row r="41" spans="1:13" x14ac:dyDescent="0.2">
      <c r="A41" t="s">
        <v>361</v>
      </c>
      <c r="B41" t="s">
        <v>32</v>
      </c>
      <c r="C41">
        <v>133262</v>
      </c>
      <c r="D41">
        <v>3925</v>
      </c>
      <c r="E41">
        <v>2.95</v>
      </c>
      <c r="F41">
        <v>294.18</v>
      </c>
      <c r="G41">
        <v>7.0000000000000007E-2</v>
      </c>
      <c r="H41">
        <v>155</v>
      </c>
      <c r="I41">
        <v>3.95</v>
      </c>
      <c r="J41">
        <v>10172.98</v>
      </c>
      <c r="K41">
        <v>34.58</v>
      </c>
      <c r="L41">
        <v>1.9</v>
      </c>
      <c r="M41">
        <v>155</v>
      </c>
    </row>
    <row r="42" spans="1:13" x14ac:dyDescent="0.2">
      <c r="A42" t="s">
        <v>362</v>
      </c>
      <c r="B42" t="s">
        <v>23</v>
      </c>
      <c r="C42">
        <v>176778</v>
      </c>
      <c r="D42">
        <v>6387</v>
      </c>
      <c r="E42">
        <v>3.61</v>
      </c>
      <c r="F42">
        <v>10315.82</v>
      </c>
      <c r="G42">
        <v>1.62</v>
      </c>
      <c r="H42">
        <v>212</v>
      </c>
      <c r="I42">
        <v>3.32</v>
      </c>
      <c r="J42">
        <v>13565.35</v>
      </c>
      <c r="K42">
        <v>1.32</v>
      </c>
      <c r="L42">
        <v>48.66</v>
      </c>
      <c r="M42">
        <v>212</v>
      </c>
    </row>
    <row r="43" spans="1:13" x14ac:dyDescent="0.2">
      <c r="A43" t="s">
        <v>362</v>
      </c>
      <c r="B43" t="s">
        <v>37</v>
      </c>
      <c r="C43">
        <v>218303</v>
      </c>
      <c r="D43">
        <v>3648</v>
      </c>
      <c r="E43">
        <v>1.67</v>
      </c>
      <c r="F43">
        <v>3181.26</v>
      </c>
      <c r="G43">
        <v>0.87</v>
      </c>
      <c r="H43">
        <v>58</v>
      </c>
      <c r="I43">
        <v>1.59</v>
      </c>
      <c r="J43">
        <v>2816.7</v>
      </c>
      <c r="K43">
        <v>0.89</v>
      </c>
      <c r="L43">
        <v>54.85</v>
      </c>
      <c r="M43">
        <v>58</v>
      </c>
    </row>
    <row r="44" spans="1:13" x14ac:dyDescent="0.2">
      <c r="A44" t="s">
        <v>362</v>
      </c>
      <c r="B44" t="s">
        <v>58</v>
      </c>
      <c r="C44">
        <v>91268</v>
      </c>
      <c r="D44">
        <v>4659</v>
      </c>
      <c r="E44">
        <v>5.0999999999999996</v>
      </c>
      <c r="F44">
        <v>546.51</v>
      </c>
      <c r="G44">
        <v>0.12</v>
      </c>
      <c r="H44">
        <v>257</v>
      </c>
      <c r="I44">
        <v>5.52</v>
      </c>
      <c r="J44">
        <v>17071.68</v>
      </c>
      <c r="K44">
        <v>31.24</v>
      </c>
      <c r="L44">
        <v>2.13</v>
      </c>
      <c r="M44">
        <v>257</v>
      </c>
    </row>
    <row r="45" spans="1:13" x14ac:dyDescent="0.2">
      <c r="A45" t="s">
        <v>362</v>
      </c>
      <c r="B45" t="s">
        <v>35</v>
      </c>
      <c r="C45">
        <v>108104</v>
      </c>
      <c r="D45">
        <v>1438</v>
      </c>
      <c r="E45">
        <v>1.33</v>
      </c>
      <c r="F45">
        <v>1606.64</v>
      </c>
      <c r="G45">
        <v>1.1200000000000001</v>
      </c>
      <c r="H45">
        <v>31</v>
      </c>
      <c r="I45">
        <v>2.16</v>
      </c>
      <c r="J45">
        <v>1737.41</v>
      </c>
      <c r="K45">
        <v>1.08</v>
      </c>
      <c r="L45">
        <v>51.83</v>
      </c>
      <c r="M45">
        <v>31</v>
      </c>
    </row>
    <row r="46" spans="1:13" x14ac:dyDescent="0.2">
      <c r="A46" t="s">
        <v>362</v>
      </c>
      <c r="B46" t="s">
        <v>32</v>
      </c>
      <c r="C46">
        <v>152885</v>
      </c>
      <c r="D46">
        <v>4212</v>
      </c>
      <c r="E46">
        <v>2.76</v>
      </c>
      <c r="F46">
        <v>360.73</v>
      </c>
      <c r="G46">
        <v>0.09</v>
      </c>
      <c r="H46">
        <v>167</v>
      </c>
      <c r="I46">
        <v>3.96</v>
      </c>
      <c r="J46">
        <v>11159.88</v>
      </c>
      <c r="K46">
        <v>30.94</v>
      </c>
      <c r="L46">
        <v>2.16</v>
      </c>
      <c r="M46">
        <v>167</v>
      </c>
    </row>
    <row r="47" spans="1:13" x14ac:dyDescent="0.2">
      <c r="A47" t="s">
        <v>363</v>
      </c>
      <c r="B47" t="s">
        <v>23</v>
      </c>
      <c r="C47">
        <v>152643</v>
      </c>
      <c r="D47">
        <v>4837</v>
      </c>
      <c r="E47">
        <v>3.17</v>
      </c>
      <c r="F47">
        <v>8294.8700000000008</v>
      </c>
      <c r="G47">
        <v>1.71</v>
      </c>
      <c r="H47">
        <v>196</v>
      </c>
      <c r="I47">
        <v>4.05</v>
      </c>
      <c r="J47">
        <v>13162.08</v>
      </c>
      <c r="K47">
        <v>1.59</v>
      </c>
      <c r="L47">
        <v>42.32</v>
      </c>
      <c r="M47">
        <v>196</v>
      </c>
    </row>
    <row r="48" spans="1:13" x14ac:dyDescent="0.2">
      <c r="A48" t="s">
        <v>363</v>
      </c>
      <c r="B48" t="s">
        <v>37</v>
      </c>
      <c r="C48">
        <v>242797</v>
      </c>
      <c r="D48">
        <v>4448</v>
      </c>
      <c r="E48">
        <v>1.83</v>
      </c>
      <c r="F48">
        <v>3582.27</v>
      </c>
      <c r="G48">
        <v>0.81</v>
      </c>
      <c r="H48">
        <v>77</v>
      </c>
      <c r="I48">
        <v>1.73</v>
      </c>
      <c r="J48">
        <v>3761.89</v>
      </c>
      <c r="K48">
        <v>1.05</v>
      </c>
      <c r="L48">
        <v>46.52</v>
      </c>
      <c r="M48">
        <v>77</v>
      </c>
    </row>
    <row r="49" spans="1:13" x14ac:dyDescent="0.2">
      <c r="A49" t="s">
        <v>363</v>
      </c>
      <c r="B49" t="s">
        <v>58</v>
      </c>
      <c r="C49">
        <v>84227</v>
      </c>
      <c r="D49">
        <v>3790</v>
      </c>
      <c r="E49">
        <v>4.5</v>
      </c>
      <c r="F49">
        <v>424.18</v>
      </c>
      <c r="G49">
        <v>0.11</v>
      </c>
      <c r="H49">
        <v>244</v>
      </c>
      <c r="I49">
        <v>6.44</v>
      </c>
      <c r="J49">
        <v>17789.240000000002</v>
      </c>
      <c r="K49">
        <v>41.94</v>
      </c>
      <c r="L49">
        <v>1.74</v>
      </c>
      <c r="M49">
        <v>244</v>
      </c>
    </row>
    <row r="50" spans="1:13" x14ac:dyDescent="0.2">
      <c r="A50" t="s">
        <v>363</v>
      </c>
      <c r="B50" t="s">
        <v>35</v>
      </c>
      <c r="C50">
        <v>106279</v>
      </c>
      <c r="D50">
        <v>1184</v>
      </c>
      <c r="E50">
        <v>1.1100000000000001</v>
      </c>
      <c r="F50">
        <v>1340.2</v>
      </c>
      <c r="G50">
        <v>1.1299999999999999</v>
      </c>
      <c r="H50">
        <v>22</v>
      </c>
      <c r="I50">
        <v>1.86</v>
      </c>
      <c r="J50">
        <v>1269.5999999999999</v>
      </c>
      <c r="K50">
        <v>0.95</v>
      </c>
      <c r="L50">
        <v>60.92</v>
      </c>
      <c r="M50">
        <v>22</v>
      </c>
    </row>
    <row r="51" spans="1:13" x14ac:dyDescent="0.2">
      <c r="A51" t="s">
        <v>363</v>
      </c>
      <c r="B51" t="s">
        <v>32</v>
      </c>
      <c r="C51">
        <v>140591</v>
      </c>
      <c r="D51">
        <v>4063</v>
      </c>
      <c r="E51">
        <v>2.89</v>
      </c>
      <c r="F51">
        <v>342.31</v>
      </c>
      <c r="G51">
        <v>0.08</v>
      </c>
      <c r="H51">
        <v>162</v>
      </c>
      <c r="I51">
        <v>3.99</v>
      </c>
      <c r="J51">
        <v>11131.08</v>
      </c>
      <c r="K51">
        <v>32.520000000000003</v>
      </c>
      <c r="L51">
        <v>2.11</v>
      </c>
      <c r="M51">
        <v>162</v>
      </c>
    </row>
    <row r="52" spans="1:13" x14ac:dyDescent="0.2">
      <c r="A52" t="s">
        <v>364</v>
      </c>
      <c r="B52" t="s">
        <v>23</v>
      </c>
      <c r="C52">
        <v>155352</v>
      </c>
      <c r="D52">
        <v>5298</v>
      </c>
      <c r="E52">
        <v>3.41</v>
      </c>
      <c r="F52">
        <v>8837.7000000000007</v>
      </c>
      <c r="G52">
        <v>1.67</v>
      </c>
      <c r="H52">
        <v>177</v>
      </c>
      <c r="I52">
        <v>3.34</v>
      </c>
      <c r="J52">
        <v>10606.15</v>
      </c>
      <c r="K52">
        <v>1.2</v>
      </c>
      <c r="L52">
        <v>49.93</v>
      </c>
      <c r="M52">
        <v>177</v>
      </c>
    </row>
    <row r="53" spans="1:13" x14ac:dyDescent="0.2">
      <c r="A53" t="s">
        <v>364</v>
      </c>
      <c r="B53" t="s">
        <v>37</v>
      </c>
      <c r="C53">
        <v>259904</v>
      </c>
      <c r="D53">
        <v>4309</v>
      </c>
      <c r="E53">
        <v>1.66</v>
      </c>
      <c r="F53">
        <v>3983.23</v>
      </c>
      <c r="G53">
        <v>0.92</v>
      </c>
      <c r="H53">
        <v>68</v>
      </c>
      <c r="I53">
        <v>1.58</v>
      </c>
      <c r="J53">
        <v>3510.29</v>
      </c>
      <c r="K53">
        <v>0.88</v>
      </c>
      <c r="L53">
        <v>58.58</v>
      </c>
      <c r="M53">
        <v>68</v>
      </c>
    </row>
    <row r="54" spans="1:13" x14ac:dyDescent="0.2">
      <c r="A54" t="s">
        <v>364</v>
      </c>
      <c r="B54" t="s">
        <v>58</v>
      </c>
      <c r="C54">
        <v>79701</v>
      </c>
      <c r="D54">
        <v>3344</v>
      </c>
      <c r="E54">
        <v>4.2</v>
      </c>
      <c r="F54">
        <v>414.99</v>
      </c>
      <c r="G54">
        <v>0.12</v>
      </c>
      <c r="H54">
        <v>195</v>
      </c>
      <c r="I54">
        <v>5.83</v>
      </c>
      <c r="J54">
        <v>13366.36</v>
      </c>
      <c r="K54">
        <v>32.21</v>
      </c>
      <c r="L54">
        <v>2.13</v>
      </c>
      <c r="M54">
        <v>195</v>
      </c>
    </row>
    <row r="55" spans="1:13" x14ac:dyDescent="0.2">
      <c r="A55" t="s">
        <v>364</v>
      </c>
      <c r="B55" t="s">
        <v>35</v>
      </c>
      <c r="C55">
        <v>100590</v>
      </c>
      <c r="D55">
        <v>1125</v>
      </c>
      <c r="E55">
        <v>1.1200000000000001</v>
      </c>
      <c r="F55">
        <v>1303.5</v>
      </c>
      <c r="G55">
        <v>1.1599999999999999</v>
      </c>
      <c r="H55">
        <v>20</v>
      </c>
      <c r="I55">
        <v>1.78</v>
      </c>
      <c r="J55">
        <v>1260.48</v>
      </c>
      <c r="K55">
        <v>0.97</v>
      </c>
      <c r="L55">
        <v>65.17</v>
      </c>
      <c r="M55">
        <v>20</v>
      </c>
    </row>
    <row r="56" spans="1:13" x14ac:dyDescent="0.2">
      <c r="A56" t="s">
        <v>364</v>
      </c>
      <c r="B56" t="s">
        <v>32</v>
      </c>
      <c r="C56">
        <v>123490</v>
      </c>
      <c r="D56">
        <v>3480</v>
      </c>
      <c r="E56">
        <v>2.82</v>
      </c>
      <c r="F56">
        <v>258.11</v>
      </c>
      <c r="G56">
        <v>7.0000000000000007E-2</v>
      </c>
      <c r="H56">
        <v>137</v>
      </c>
      <c r="I56">
        <v>3.94</v>
      </c>
      <c r="J56">
        <v>9547.5499999999993</v>
      </c>
      <c r="K56">
        <v>36.99</v>
      </c>
      <c r="L56">
        <v>1.88</v>
      </c>
      <c r="M56">
        <v>137</v>
      </c>
    </row>
    <row r="57" spans="1:13" x14ac:dyDescent="0.2">
      <c r="A57" t="s">
        <v>365</v>
      </c>
      <c r="B57" t="s">
        <v>23</v>
      </c>
      <c r="C57">
        <v>159982</v>
      </c>
      <c r="D57">
        <v>6051</v>
      </c>
      <c r="E57">
        <v>3.78</v>
      </c>
      <c r="F57">
        <v>8865.7800000000007</v>
      </c>
      <c r="G57">
        <v>1.47</v>
      </c>
      <c r="H57">
        <v>235</v>
      </c>
      <c r="I57">
        <v>3.88</v>
      </c>
      <c r="J57">
        <v>15036.26</v>
      </c>
      <c r="K57">
        <v>1.7</v>
      </c>
      <c r="L57">
        <v>37.729999999999997</v>
      </c>
      <c r="M57">
        <v>235</v>
      </c>
    </row>
    <row r="58" spans="1:13" x14ac:dyDescent="0.2">
      <c r="A58" t="s">
        <v>365</v>
      </c>
      <c r="B58" t="s">
        <v>37</v>
      </c>
      <c r="C58">
        <v>270362</v>
      </c>
      <c r="D58">
        <v>4696</v>
      </c>
      <c r="E58">
        <v>1.74</v>
      </c>
      <c r="F58">
        <v>4205.22</v>
      </c>
      <c r="G58">
        <v>0.9</v>
      </c>
      <c r="H58">
        <v>78</v>
      </c>
      <c r="I58">
        <v>1.66</v>
      </c>
      <c r="J58">
        <v>3726.2</v>
      </c>
      <c r="K58">
        <v>0.89</v>
      </c>
      <c r="L58">
        <v>53.91</v>
      </c>
      <c r="M58">
        <v>78</v>
      </c>
    </row>
    <row r="59" spans="1:13" x14ac:dyDescent="0.2">
      <c r="A59" t="s">
        <v>365</v>
      </c>
      <c r="B59" t="s">
        <v>58</v>
      </c>
      <c r="C59">
        <v>94189</v>
      </c>
      <c r="D59">
        <v>4211</v>
      </c>
      <c r="E59">
        <v>4.47</v>
      </c>
      <c r="F59">
        <v>496.15</v>
      </c>
      <c r="G59">
        <v>0.12</v>
      </c>
      <c r="H59">
        <v>283</v>
      </c>
      <c r="I59">
        <v>6.72</v>
      </c>
      <c r="J59">
        <v>19259.849999999999</v>
      </c>
      <c r="K59">
        <v>38.82</v>
      </c>
      <c r="L59">
        <v>1.75</v>
      </c>
      <c r="M59">
        <v>283</v>
      </c>
    </row>
    <row r="60" spans="1:13" x14ac:dyDescent="0.2">
      <c r="A60" t="s">
        <v>365</v>
      </c>
      <c r="B60" t="s">
        <v>35</v>
      </c>
      <c r="C60">
        <v>126477</v>
      </c>
      <c r="D60">
        <v>1612</v>
      </c>
      <c r="E60">
        <v>1.27</v>
      </c>
      <c r="F60">
        <v>1995.21</v>
      </c>
      <c r="G60">
        <v>1.24</v>
      </c>
      <c r="H60">
        <v>36</v>
      </c>
      <c r="I60">
        <v>2.23</v>
      </c>
      <c r="J60">
        <v>1999.14</v>
      </c>
      <c r="K60">
        <v>1</v>
      </c>
      <c r="L60">
        <v>55.42</v>
      </c>
      <c r="M60">
        <v>36</v>
      </c>
    </row>
    <row r="61" spans="1:13" x14ac:dyDescent="0.2">
      <c r="A61" t="s">
        <v>365</v>
      </c>
      <c r="B61" t="s">
        <v>32</v>
      </c>
      <c r="C61">
        <v>136308</v>
      </c>
      <c r="D61">
        <v>3825</v>
      </c>
      <c r="E61">
        <v>2.81</v>
      </c>
      <c r="F61">
        <v>290.68</v>
      </c>
      <c r="G61">
        <v>0.08</v>
      </c>
      <c r="H61">
        <v>169</v>
      </c>
      <c r="I61">
        <v>4.42</v>
      </c>
      <c r="J61">
        <v>11766.52</v>
      </c>
      <c r="K61">
        <v>40.479999999999997</v>
      </c>
      <c r="L61">
        <v>1.72</v>
      </c>
      <c r="M61">
        <v>169</v>
      </c>
    </row>
    <row r="62" spans="1:13" x14ac:dyDescent="0.2">
      <c r="A62" t="s">
        <v>366</v>
      </c>
      <c r="B62" t="s">
        <v>23</v>
      </c>
      <c r="C62">
        <v>178781</v>
      </c>
      <c r="D62">
        <v>5928</v>
      </c>
      <c r="E62">
        <v>3.32</v>
      </c>
      <c r="F62">
        <v>10213.280000000001</v>
      </c>
      <c r="G62">
        <v>1.72</v>
      </c>
      <c r="H62">
        <v>213</v>
      </c>
      <c r="I62">
        <v>3.59</v>
      </c>
      <c r="J62">
        <v>13514.46</v>
      </c>
      <c r="K62">
        <v>1.32</v>
      </c>
      <c r="L62">
        <v>47.95</v>
      </c>
      <c r="M62">
        <v>213</v>
      </c>
    </row>
    <row r="63" spans="1:13" x14ac:dyDescent="0.2">
      <c r="A63" t="s">
        <v>366</v>
      </c>
      <c r="B63" t="s">
        <v>37</v>
      </c>
      <c r="C63">
        <v>254114</v>
      </c>
      <c r="D63">
        <v>4752</v>
      </c>
      <c r="E63">
        <v>1.87</v>
      </c>
      <c r="F63">
        <v>4287.0200000000004</v>
      </c>
      <c r="G63">
        <v>0.9</v>
      </c>
      <c r="H63">
        <v>92</v>
      </c>
      <c r="I63">
        <v>1.94</v>
      </c>
      <c r="J63">
        <v>4831.54</v>
      </c>
      <c r="K63">
        <v>1.1299999999999999</v>
      </c>
      <c r="L63">
        <v>46.6</v>
      </c>
      <c r="M63">
        <v>92</v>
      </c>
    </row>
    <row r="64" spans="1:13" x14ac:dyDescent="0.2">
      <c r="A64" t="s">
        <v>366</v>
      </c>
      <c r="B64" t="s">
        <v>58</v>
      </c>
      <c r="C64">
        <v>87768</v>
      </c>
      <c r="D64">
        <v>4018</v>
      </c>
      <c r="E64">
        <v>4.58</v>
      </c>
      <c r="F64">
        <v>523.95000000000005</v>
      </c>
      <c r="G64">
        <v>0.13</v>
      </c>
      <c r="H64">
        <v>243</v>
      </c>
      <c r="I64">
        <v>6.05</v>
      </c>
      <c r="J64">
        <v>17665.650000000001</v>
      </c>
      <c r="K64">
        <v>33.72</v>
      </c>
      <c r="L64">
        <v>2.16</v>
      </c>
      <c r="M64">
        <v>243</v>
      </c>
    </row>
    <row r="65" spans="1:13" x14ac:dyDescent="0.2">
      <c r="A65" t="s">
        <v>366</v>
      </c>
      <c r="B65" t="s">
        <v>35</v>
      </c>
      <c r="C65">
        <v>132842</v>
      </c>
      <c r="D65">
        <v>1653</v>
      </c>
      <c r="E65">
        <v>1.24</v>
      </c>
      <c r="F65">
        <v>2108.88</v>
      </c>
      <c r="G65">
        <v>1.28</v>
      </c>
      <c r="H65">
        <v>36</v>
      </c>
      <c r="I65">
        <v>2.1800000000000002</v>
      </c>
      <c r="J65">
        <v>2248.27</v>
      </c>
      <c r="K65">
        <v>1.07</v>
      </c>
      <c r="L65">
        <v>58.58</v>
      </c>
      <c r="M65">
        <v>36</v>
      </c>
    </row>
    <row r="66" spans="1:13" x14ac:dyDescent="0.2">
      <c r="A66" t="s">
        <v>366</v>
      </c>
      <c r="B66" t="s">
        <v>32</v>
      </c>
      <c r="C66">
        <v>148036</v>
      </c>
      <c r="D66">
        <v>3777</v>
      </c>
      <c r="E66">
        <v>2.5499999999999998</v>
      </c>
      <c r="F66">
        <v>298.66000000000003</v>
      </c>
      <c r="G66">
        <v>0.08</v>
      </c>
      <c r="H66">
        <v>164</v>
      </c>
      <c r="I66">
        <v>4.34</v>
      </c>
      <c r="J66">
        <v>10680.23</v>
      </c>
      <c r="K66">
        <v>35.76</v>
      </c>
      <c r="L66">
        <v>1.82</v>
      </c>
      <c r="M66">
        <v>164</v>
      </c>
    </row>
    <row r="67" spans="1:13" x14ac:dyDescent="0.2">
      <c r="A67" t="s">
        <v>367</v>
      </c>
      <c r="B67" t="s">
        <v>23</v>
      </c>
      <c r="C67">
        <v>201241</v>
      </c>
      <c r="D67">
        <v>6695</v>
      </c>
      <c r="E67">
        <v>3.33</v>
      </c>
      <c r="F67">
        <v>10788.64</v>
      </c>
      <c r="G67">
        <v>1.61</v>
      </c>
      <c r="H67">
        <v>224</v>
      </c>
      <c r="I67">
        <v>3.35</v>
      </c>
      <c r="J67">
        <v>14754.69</v>
      </c>
      <c r="K67">
        <v>1.37</v>
      </c>
      <c r="L67">
        <v>48.16</v>
      </c>
      <c r="M67">
        <v>224</v>
      </c>
    </row>
    <row r="68" spans="1:13" x14ac:dyDescent="0.2">
      <c r="A68" t="s">
        <v>367</v>
      </c>
      <c r="B68" t="s">
        <v>37</v>
      </c>
      <c r="C68">
        <v>278474</v>
      </c>
      <c r="D68">
        <v>4473</v>
      </c>
      <c r="E68">
        <v>1.61</v>
      </c>
      <c r="F68">
        <v>3795.4</v>
      </c>
      <c r="G68">
        <v>0.85</v>
      </c>
      <c r="H68">
        <v>87</v>
      </c>
      <c r="I68">
        <v>1.95</v>
      </c>
      <c r="J68">
        <v>4358.45</v>
      </c>
      <c r="K68">
        <v>1.1499999999999999</v>
      </c>
      <c r="L68">
        <v>43.63</v>
      </c>
      <c r="M68">
        <v>87</v>
      </c>
    </row>
    <row r="69" spans="1:13" x14ac:dyDescent="0.2">
      <c r="A69" t="s">
        <v>367</v>
      </c>
      <c r="B69" t="s">
        <v>58</v>
      </c>
      <c r="C69">
        <v>89541</v>
      </c>
      <c r="D69">
        <v>4583</v>
      </c>
      <c r="E69">
        <v>5.12</v>
      </c>
      <c r="F69">
        <v>581.49</v>
      </c>
      <c r="G69">
        <v>0.13</v>
      </c>
      <c r="H69">
        <v>323</v>
      </c>
      <c r="I69">
        <v>7.05</v>
      </c>
      <c r="J69">
        <v>22272.94</v>
      </c>
      <c r="K69">
        <v>38.299999999999997</v>
      </c>
      <c r="L69">
        <v>1.8</v>
      </c>
      <c r="M69">
        <v>323</v>
      </c>
    </row>
    <row r="70" spans="1:13" x14ac:dyDescent="0.2">
      <c r="A70" t="s">
        <v>367</v>
      </c>
      <c r="B70" t="s">
        <v>35</v>
      </c>
      <c r="C70">
        <v>126569</v>
      </c>
      <c r="D70">
        <v>1666</v>
      </c>
      <c r="E70">
        <v>1.32</v>
      </c>
      <c r="F70">
        <v>2030.21</v>
      </c>
      <c r="G70">
        <v>1.22</v>
      </c>
      <c r="H70">
        <v>35</v>
      </c>
      <c r="I70">
        <v>2.1</v>
      </c>
      <c r="J70">
        <v>2005.29</v>
      </c>
      <c r="K70">
        <v>0.99</v>
      </c>
      <c r="L70">
        <v>58.01</v>
      </c>
      <c r="M70">
        <v>35</v>
      </c>
    </row>
    <row r="71" spans="1:13" x14ac:dyDescent="0.2">
      <c r="A71" t="s">
        <v>367</v>
      </c>
      <c r="B71" t="s">
        <v>32</v>
      </c>
      <c r="C71">
        <v>157229</v>
      </c>
      <c r="D71">
        <v>4081</v>
      </c>
      <c r="E71">
        <v>2.6</v>
      </c>
      <c r="F71">
        <v>308.63</v>
      </c>
      <c r="G71">
        <v>0.08</v>
      </c>
      <c r="H71">
        <v>147</v>
      </c>
      <c r="I71">
        <v>3.6</v>
      </c>
      <c r="J71">
        <v>8993.01</v>
      </c>
      <c r="K71">
        <v>29.14</v>
      </c>
      <c r="L71">
        <v>2.1</v>
      </c>
      <c r="M71">
        <v>147</v>
      </c>
    </row>
    <row r="72" spans="1:13" x14ac:dyDescent="0.2">
      <c r="A72" t="s">
        <v>368</v>
      </c>
      <c r="B72" t="s">
        <v>23</v>
      </c>
      <c r="C72">
        <v>218081</v>
      </c>
      <c r="D72">
        <v>7068</v>
      </c>
      <c r="E72">
        <v>3.24</v>
      </c>
      <c r="F72">
        <v>11458.56</v>
      </c>
      <c r="G72">
        <v>1.62</v>
      </c>
      <c r="H72">
        <v>281</v>
      </c>
      <c r="I72">
        <v>3.98</v>
      </c>
      <c r="J72">
        <v>17989.939999999999</v>
      </c>
      <c r="K72">
        <v>1.57</v>
      </c>
      <c r="L72">
        <v>40.78</v>
      </c>
      <c r="M72">
        <v>281</v>
      </c>
    </row>
    <row r="73" spans="1:13" x14ac:dyDescent="0.2">
      <c r="A73" t="s">
        <v>368</v>
      </c>
      <c r="B73" t="s">
        <v>37</v>
      </c>
      <c r="C73">
        <v>263783</v>
      </c>
      <c r="D73">
        <v>4754</v>
      </c>
      <c r="E73">
        <v>1.8</v>
      </c>
      <c r="F73">
        <v>4317.62</v>
      </c>
      <c r="G73">
        <v>0.91</v>
      </c>
      <c r="H73">
        <v>92</v>
      </c>
      <c r="I73">
        <v>1.94</v>
      </c>
      <c r="J73">
        <v>4803.1000000000004</v>
      </c>
      <c r="K73">
        <v>1.1100000000000001</v>
      </c>
      <c r="L73">
        <v>46.93</v>
      </c>
      <c r="M73">
        <v>92</v>
      </c>
    </row>
    <row r="74" spans="1:13" x14ac:dyDescent="0.2">
      <c r="A74" t="s">
        <v>368</v>
      </c>
      <c r="B74" t="s">
        <v>58</v>
      </c>
      <c r="C74">
        <v>109000</v>
      </c>
      <c r="D74">
        <v>5145</v>
      </c>
      <c r="E74">
        <v>4.72</v>
      </c>
      <c r="F74">
        <v>602.05999999999995</v>
      </c>
      <c r="G74">
        <v>0.12</v>
      </c>
      <c r="H74">
        <v>336</v>
      </c>
      <c r="I74">
        <v>6.53</v>
      </c>
      <c r="J74">
        <v>21940.16</v>
      </c>
      <c r="K74">
        <v>36.44</v>
      </c>
      <c r="L74">
        <v>1.79</v>
      </c>
      <c r="M74">
        <v>336</v>
      </c>
    </row>
    <row r="75" spans="1:13" x14ac:dyDescent="0.2">
      <c r="A75" t="s">
        <v>368</v>
      </c>
      <c r="B75" t="s">
        <v>35</v>
      </c>
      <c r="C75">
        <v>143096</v>
      </c>
      <c r="D75">
        <v>1590</v>
      </c>
      <c r="E75">
        <v>1.1100000000000001</v>
      </c>
      <c r="F75">
        <v>1854.82</v>
      </c>
      <c r="G75">
        <v>1.17</v>
      </c>
      <c r="H75">
        <v>34</v>
      </c>
      <c r="I75">
        <v>2.14</v>
      </c>
      <c r="J75">
        <v>2050.09</v>
      </c>
      <c r="K75">
        <v>1.1100000000000001</v>
      </c>
      <c r="L75">
        <v>54.55</v>
      </c>
      <c r="M75">
        <v>34</v>
      </c>
    </row>
    <row r="76" spans="1:13" x14ac:dyDescent="0.2">
      <c r="A76" t="s">
        <v>368</v>
      </c>
      <c r="B76" t="s">
        <v>32</v>
      </c>
      <c r="C76">
        <v>160806</v>
      </c>
      <c r="D76">
        <v>4521</v>
      </c>
      <c r="E76">
        <v>2.81</v>
      </c>
      <c r="F76">
        <v>393.51</v>
      </c>
      <c r="G76">
        <v>0.09</v>
      </c>
      <c r="H76">
        <v>180</v>
      </c>
      <c r="I76">
        <v>3.98</v>
      </c>
      <c r="J76">
        <v>12446.75</v>
      </c>
      <c r="K76">
        <v>31.63</v>
      </c>
      <c r="L76">
        <v>2.19</v>
      </c>
      <c r="M76">
        <v>180</v>
      </c>
    </row>
    <row r="77" spans="1:13" x14ac:dyDescent="0.2">
      <c r="A77" t="s">
        <v>369</v>
      </c>
      <c r="B77" t="s">
        <v>23</v>
      </c>
      <c r="C77">
        <v>182039</v>
      </c>
      <c r="D77">
        <v>6628</v>
      </c>
      <c r="E77">
        <v>3.64</v>
      </c>
      <c r="F77">
        <v>11161.64</v>
      </c>
      <c r="G77">
        <v>1.68</v>
      </c>
      <c r="H77">
        <v>221</v>
      </c>
      <c r="I77">
        <v>3.33</v>
      </c>
      <c r="J77">
        <v>13901.39</v>
      </c>
      <c r="K77">
        <v>1.25</v>
      </c>
      <c r="L77">
        <v>50.51</v>
      </c>
      <c r="M77">
        <v>221</v>
      </c>
    </row>
    <row r="78" spans="1:13" x14ac:dyDescent="0.2">
      <c r="A78" t="s">
        <v>369</v>
      </c>
      <c r="B78" t="s">
        <v>37</v>
      </c>
      <c r="C78">
        <v>267813</v>
      </c>
      <c r="D78">
        <v>4805</v>
      </c>
      <c r="E78">
        <v>1.79</v>
      </c>
      <c r="F78">
        <v>4303.57</v>
      </c>
      <c r="G78">
        <v>0.9</v>
      </c>
      <c r="H78">
        <v>90</v>
      </c>
      <c r="I78">
        <v>1.87</v>
      </c>
      <c r="J78">
        <v>4319.4799999999996</v>
      </c>
      <c r="K78">
        <v>1</v>
      </c>
      <c r="L78">
        <v>47.82</v>
      </c>
      <c r="M78">
        <v>90</v>
      </c>
    </row>
    <row r="79" spans="1:13" x14ac:dyDescent="0.2">
      <c r="A79" t="s">
        <v>369</v>
      </c>
      <c r="B79" t="s">
        <v>58</v>
      </c>
      <c r="C79">
        <v>93711</v>
      </c>
      <c r="D79">
        <v>3918</v>
      </c>
      <c r="E79">
        <v>4.18</v>
      </c>
      <c r="F79">
        <v>456.46</v>
      </c>
      <c r="G79">
        <v>0.12</v>
      </c>
      <c r="H79">
        <v>250</v>
      </c>
      <c r="I79">
        <v>6.38</v>
      </c>
      <c r="J79">
        <v>18337.73</v>
      </c>
      <c r="K79">
        <v>40.17</v>
      </c>
      <c r="L79">
        <v>1.83</v>
      </c>
      <c r="M79">
        <v>250</v>
      </c>
    </row>
    <row r="80" spans="1:13" x14ac:dyDescent="0.2">
      <c r="A80" t="s">
        <v>369</v>
      </c>
      <c r="B80" t="s">
        <v>35</v>
      </c>
      <c r="C80">
        <v>138167</v>
      </c>
      <c r="D80">
        <v>1651</v>
      </c>
      <c r="E80">
        <v>1.19</v>
      </c>
      <c r="F80">
        <v>2198.5100000000002</v>
      </c>
      <c r="G80">
        <v>1.33</v>
      </c>
      <c r="H80">
        <v>35</v>
      </c>
      <c r="I80">
        <v>2.12</v>
      </c>
      <c r="J80">
        <v>2211.7399999999998</v>
      </c>
      <c r="K80">
        <v>1.01</v>
      </c>
      <c r="L80">
        <v>62.81</v>
      </c>
      <c r="M80">
        <v>35</v>
      </c>
    </row>
    <row r="81" spans="1:13" x14ac:dyDescent="0.2">
      <c r="A81" t="s">
        <v>369</v>
      </c>
      <c r="B81" t="s">
        <v>32</v>
      </c>
      <c r="C81">
        <v>167651</v>
      </c>
      <c r="D81">
        <v>4492</v>
      </c>
      <c r="E81">
        <v>2.68</v>
      </c>
      <c r="F81">
        <v>327.60000000000002</v>
      </c>
      <c r="G81">
        <v>7.0000000000000007E-2</v>
      </c>
      <c r="H81">
        <v>198</v>
      </c>
      <c r="I81">
        <v>4.41</v>
      </c>
      <c r="J81">
        <v>12268.97</v>
      </c>
      <c r="K81">
        <v>37.450000000000003</v>
      </c>
      <c r="L81">
        <v>1.65</v>
      </c>
      <c r="M81">
        <v>198</v>
      </c>
    </row>
    <row r="82" spans="1:13" x14ac:dyDescent="0.2">
      <c r="A82" t="s">
        <v>370</v>
      </c>
      <c r="B82" t="s">
        <v>23</v>
      </c>
      <c r="C82">
        <v>189057</v>
      </c>
      <c r="D82">
        <v>6538</v>
      </c>
      <c r="E82">
        <v>3.46</v>
      </c>
      <c r="F82">
        <v>10378.85</v>
      </c>
      <c r="G82">
        <v>1.59</v>
      </c>
      <c r="H82">
        <v>245</v>
      </c>
      <c r="I82">
        <v>3.75</v>
      </c>
      <c r="J82">
        <v>14809.31</v>
      </c>
      <c r="K82">
        <v>1.43</v>
      </c>
      <c r="L82">
        <v>42.36</v>
      </c>
      <c r="M82">
        <v>245</v>
      </c>
    </row>
    <row r="83" spans="1:13" x14ac:dyDescent="0.2">
      <c r="A83" t="s">
        <v>370</v>
      </c>
      <c r="B83" t="s">
        <v>37</v>
      </c>
      <c r="C83">
        <v>277867</v>
      </c>
      <c r="D83">
        <v>4892</v>
      </c>
      <c r="E83">
        <v>1.76</v>
      </c>
      <c r="F83">
        <v>4792.97</v>
      </c>
      <c r="G83">
        <v>0.98</v>
      </c>
      <c r="H83">
        <v>94</v>
      </c>
      <c r="I83">
        <v>1.92</v>
      </c>
      <c r="J83">
        <v>5013.13</v>
      </c>
      <c r="K83">
        <v>1.05</v>
      </c>
      <c r="L83">
        <v>50.99</v>
      </c>
      <c r="M83">
        <v>94</v>
      </c>
    </row>
    <row r="84" spans="1:13" x14ac:dyDescent="0.2">
      <c r="A84" t="s">
        <v>370</v>
      </c>
      <c r="B84" t="s">
        <v>58</v>
      </c>
      <c r="C84">
        <v>104413</v>
      </c>
      <c r="D84">
        <v>4947</v>
      </c>
      <c r="E84">
        <v>4.74</v>
      </c>
      <c r="F84">
        <v>559.35</v>
      </c>
      <c r="G84">
        <v>0.11</v>
      </c>
      <c r="H84">
        <v>325</v>
      </c>
      <c r="I84">
        <v>6.57</v>
      </c>
      <c r="J84">
        <v>23061.5</v>
      </c>
      <c r="K84">
        <v>41.23</v>
      </c>
      <c r="L84">
        <v>1.72</v>
      </c>
      <c r="M84">
        <v>325</v>
      </c>
    </row>
    <row r="85" spans="1:13" x14ac:dyDescent="0.2">
      <c r="A85" t="s">
        <v>370</v>
      </c>
      <c r="B85" t="s">
        <v>35</v>
      </c>
      <c r="C85">
        <v>134635</v>
      </c>
      <c r="D85">
        <v>1628</v>
      </c>
      <c r="E85">
        <v>1.21</v>
      </c>
      <c r="F85">
        <v>1985.45</v>
      </c>
      <c r="G85">
        <v>1.22</v>
      </c>
      <c r="H85">
        <v>31</v>
      </c>
      <c r="I85">
        <v>1.9</v>
      </c>
      <c r="J85">
        <v>1848.16</v>
      </c>
      <c r="K85">
        <v>0.93</v>
      </c>
      <c r="L85">
        <v>64.05</v>
      </c>
      <c r="M85">
        <v>31</v>
      </c>
    </row>
    <row r="86" spans="1:13" x14ac:dyDescent="0.2">
      <c r="A86" t="s">
        <v>370</v>
      </c>
      <c r="B86" t="s">
        <v>32</v>
      </c>
      <c r="C86">
        <v>153775</v>
      </c>
      <c r="D86">
        <v>4637</v>
      </c>
      <c r="E86">
        <v>3.02</v>
      </c>
      <c r="F86">
        <v>349.03</v>
      </c>
      <c r="G86">
        <v>0.08</v>
      </c>
      <c r="H86">
        <v>171</v>
      </c>
      <c r="I86">
        <v>3.69</v>
      </c>
      <c r="J86">
        <v>11112.94</v>
      </c>
      <c r="K86">
        <v>31.84</v>
      </c>
      <c r="L86">
        <v>2.04</v>
      </c>
      <c r="M86">
        <v>171</v>
      </c>
    </row>
    <row r="87" spans="1:13" x14ac:dyDescent="0.2">
      <c r="A87" t="s">
        <v>371</v>
      </c>
      <c r="B87" t="s">
        <v>23</v>
      </c>
      <c r="C87">
        <v>197472</v>
      </c>
      <c r="D87">
        <v>6689</v>
      </c>
      <c r="E87">
        <v>3.39</v>
      </c>
      <c r="F87">
        <v>9962.42</v>
      </c>
      <c r="G87">
        <v>1.49</v>
      </c>
      <c r="H87">
        <v>248</v>
      </c>
      <c r="I87">
        <v>3.71</v>
      </c>
      <c r="J87">
        <v>15407.53</v>
      </c>
      <c r="K87">
        <v>1.55</v>
      </c>
      <c r="L87">
        <v>40.17</v>
      </c>
      <c r="M87">
        <v>248</v>
      </c>
    </row>
    <row r="88" spans="1:13" x14ac:dyDescent="0.2">
      <c r="A88" t="s">
        <v>371</v>
      </c>
      <c r="B88" t="s">
        <v>37</v>
      </c>
      <c r="C88">
        <v>301728</v>
      </c>
      <c r="D88">
        <v>5657</v>
      </c>
      <c r="E88">
        <v>1.87</v>
      </c>
      <c r="F88">
        <v>5030.54</v>
      </c>
      <c r="G88">
        <v>0.89</v>
      </c>
      <c r="H88">
        <v>98</v>
      </c>
      <c r="I88">
        <v>1.73</v>
      </c>
      <c r="J88">
        <v>5092.8599999999997</v>
      </c>
      <c r="K88">
        <v>1.01</v>
      </c>
      <c r="L88">
        <v>51.33</v>
      </c>
      <c r="M88">
        <v>98</v>
      </c>
    </row>
    <row r="89" spans="1:13" x14ac:dyDescent="0.2">
      <c r="A89" t="s">
        <v>371</v>
      </c>
      <c r="B89" t="s">
        <v>58</v>
      </c>
      <c r="C89">
        <v>85813</v>
      </c>
      <c r="D89">
        <v>3964</v>
      </c>
      <c r="E89">
        <v>4.62</v>
      </c>
      <c r="F89">
        <v>463.31</v>
      </c>
      <c r="G89">
        <v>0.12</v>
      </c>
      <c r="H89">
        <v>277</v>
      </c>
      <c r="I89">
        <v>6.99</v>
      </c>
      <c r="J89">
        <v>17928.11</v>
      </c>
      <c r="K89">
        <v>38.700000000000003</v>
      </c>
      <c r="L89">
        <v>1.67</v>
      </c>
      <c r="M89">
        <v>277</v>
      </c>
    </row>
    <row r="90" spans="1:13" x14ac:dyDescent="0.2">
      <c r="A90" t="s">
        <v>371</v>
      </c>
      <c r="B90" t="s">
        <v>35</v>
      </c>
      <c r="C90">
        <v>128724</v>
      </c>
      <c r="D90">
        <v>1641</v>
      </c>
      <c r="E90">
        <v>1.27</v>
      </c>
      <c r="F90">
        <v>1982.4</v>
      </c>
      <c r="G90">
        <v>1.21</v>
      </c>
      <c r="H90">
        <v>29</v>
      </c>
      <c r="I90">
        <v>1.77</v>
      </c>
      <c r="J90">
        <v>1843.25</v>
      </c>
      <c r="K90">
        <v>0.93</v>
      </c>
      <c r="L90">
        <v>68.36</v>
      </c>
      <c r="M90">
        <v>29</v>
      </c>
    </row>
    <row r="91" spans="1:13" x14ac:dyDescent="0.2">
      <c r="A91" t="s">
        <v>371</v>
      </c>
      <c r="B91" t="s">
        <v>32</v>
      </c>
      <c r="C91">
        <v>159699</v>
      </c>
      <c r="D91">
        <v>4628</v>
      </c>
      <c r="E91">
        <v>2.9</v>
      </c>
      <c r="F91">
        <v>352.49</v>
      </c>
      <c r="G91">
        <v>0.08</v>
      </c>
      <c r="H91">
        <v>191</v>
      </c>
      <c r="I91">
        <v>4.13</v>
      </c>
      <c r="J91">
        <v>12399.69</v>
      </c>
      <c r="K91">
        <v>35.18</v>
      </c>
      <c r="L91">
        <v>1.85</v>
      </c>
      <c r="M91">
        <v>191</v>
      </c>
    </row>
    <row r="92" spans="1:13" x14ac:dyDescent="0.2">
      <c r="A92" t="s">
        <v>372</v>
      </c>
      <c r="B92" t="s">
        <v>23</v>
      </c>
      <c r="C92">
        <v>164965</v>
      </c>
      <c r="D92">
        <v>5178</v>
      </c>
      <c r="E92">
        <v>3.14</v>
      </c>
      <c r="F92">
        <v>8702.0300000000007</v>
      </c>
      <c r="G92">
        <v>1.68</v>
      </c>
      <c r="H92">
        <v>176</v>
      </c>
      <c r="I92">
        <v>3.4</v>
      </c>
      <c r="J92">
        <v>10685.51</v>
      </c>
      <c r="K92">
        <v>1.23</v>
      </c>
      <c r="L92">
        <v>49.44</v>
      </c>
      <c r="M92">
        <v>176</v>
      </c>
    </row>
    <row r="93" spans="1:13" x14ac:dyDescent="0.2">
      <c r="A93" t="s">
        <v>372</v>
      </c>
      <c r="B93" t="s">
        <v>37</v>
      </c>
      <c r="C93">
        <v>262880</v>
      </c>
      <c r="D93">
        <v>4777</v>
      </c>
      <c r="E93">
        <v>1.82</v>
      </c>
      <c r="F93">
        <v>3840.67</v>
      </c>
      <c r="G93">
        <v>0.8</v>
      </c>
      <c r="H93">
        <v>89</v>
      </c>
      <c r="I93">
        <v>1.86</v>
      </c>
      <c r="J93">
        <v>4220.93</v>
      </c>
      <c r="K93">
        <v>1.1000000000000001</v>
      </c>
      <c r="L93">
        <v>43.15</v>
      </c>
      <c r="M93">
        <v>89</v>
      </c>
    </row>
    <row r="94" spans="1:13" x14ac:dyDescent="0.2">
      <c r="A94" t="s">
        <v>372</v>
      </c>
      <c r="B94" t="s">
        <v>58</v>
      </c>
      <c r="C94">
        <v>81721</v>
      </c>
      <c r="D94">
        <v>3426</v>
      </c>
      <c r="E94">
        <v>4.1900000000000004</v>
      </c>
      <c r="F94">
        <v>445.46</v>
      </c>
      <c r="G94">
        <v>0.13</v>
      </c>
      <c r="H94">
        <v>193</v>
      </c>
      <c r="I94">
        <v>5.63</v>
      </c>
      <c r="J94">
        <v>12556.68</v>
      </c>
      <c r="K94">
        <v>28.19</v>
      </c>
      <c r="L94">
        <v>2.31</v>
      </c>
      <c r="M94">
        <v>193</v>
      </c>
    </row>
    <row r="95" spans="1:13" x14ac:dyDescent="0.2">
      <c r="A95" t="s">
        <v>372</v>
      </c>
      <c r="B95" t="s">
        <v>35</v>
      </c>
      <c r="C95">
        <v>119560</v>
      </c>
      <c r="D95">
        <v>1557</v>
      </c>
      <c r="E95">
        <v>1.3</v>
      </c>
      <c r="F95">
        <v>1789.42</v>
      </c>
      <c r="G95">
        <v>1.1499999999999999</v>
      </c>
      <c r="H95">
        <v>30</v>
      </c>
      <c r="I95">
        <v>1.93</v>
      </c>
      <c r="J95">
        <v>1663.42</v>
      </c>
      <c r="K95">
        <v>0.93</v>
      </c>
      <c r="L95">
        <v>59.65</v>
      </c>
      <c r="M95">
        <v>30</v>
      </c>
    </row>
    <row r="96" spans="1:13" x14ac:dyDescent="0.2">
      <c r="A96" t="s">
        <v>372</v>
      </c>
      <c r="B96" t="s">
        <v>32</v>
      </c>
      <c r="C96">
        <v>149819</v>
      </c>
      <c r="D96">
        <v>4308</v>
      </c>
      <c r="E96">
        <v>2.88</v>
      </c>
      <c r="F96">
        <v>353.46</v>
      </c>
      <c r="G96">
        <v>0.08</v>
      </c>
      <c r="H96">
        <v>171</v>
      </c>
      <c r="I96">
        <v>3.97</v>
      </c>
      <c r="J96">
        <v>10914.78</v>
      </c>
      <c r="K96">
        <v>30.88</v>
      </c>
      <c r="L96">
        <v>2.0699999999999998</v>
      </c>
      <c r="M96">
        <v>171</v>
      </c>
    </row>
    <row r="97" spans="1:13" x14ac:dyDescent="0.2">
      <c r="A97" t="s">
        <v>373</v>
      </c>
      <c r="B97" t="s">
        <v>23</v>
      </c>
      <c r="C97">
        <v>157911</v>
      </c>
      <c r="D97">
        <v>5265</v>
      </c>
      <c r="E97">
        <v>3.33</v>
      </c>
      <c r="F97">
        <v>7523.3</v>
      </c>
      <c r="G97">
        <v>1.43</v>
      </c>
      <c r="H97">
        <v>206</v>
      </c>
      <c r="I97">
        <v>3.91</v>
      </c>
      <c r="J97">
        <v>13984.59</v>
      </c>
      <c r="K97">
        <v>1.86</v>
      </c>
      <c r="L97">
        <v>36.520000000000003</v>
      </c>
      <c r="M97">
        <v>206</v>
      </c>
    </row>
    <row r="98" spans="1:13" x14ac:dyDescent="0.2">
      <c r="A98" t="s">
        <v>373</v>
      </c>
      <c r="B98" t="s">
        <v>37</v>
      </c>
      <c r="C98">
        <v>275013</v>
      </c>
      <c r="D98">
        <v>5097</v>
      </c>
      <c r="E98">
        <v>1.85</v>
      </c>
      <c r="F98">
        <v>4629.67</v>
      </c>
      <c r="G98">
        <v>0.91</v>
      </c>
      <c r="H98">
        <v>98</v>
      </c>
      <c r="I98">
        <v>1.92</v>
      </c>
      <c r="J98">
        <v>4767.33</v>
      </c>
      <c r="K98">
        <v>1.03</v>
      </c>
      <c r="L98">
        <v>47.24</v>
      </c>
      <c r="M98">
        <v>98</v>
      </c>
    </row>
    <row r="99" spans="1:13" x14ac:dyDescent="0.2">
      <c r="A99" t="s">
        <v>373</v>
      </c>
      <c r="B99" t="s">
        <v>58</v>
      </c>
      <c r="C99">
        <v>88814</v>
      </c>
      <c r="D99">
        <v>4086</v>
      </c>
      <c r="E99">
        <v>4.5999999999999996</v>
      </c>
      <c r="F99">
        <v>493.28</v>
      </c>
      <c r="G99">
        <v>0.12</v>
      </c>
      <c r="H99">
        <v>274</v>
      </c>
      <c r="I99">
        <v>6.71</v>
      </c>
      <c r="J99">
        <v>18488.310000000001</v>
      </c>
      <c r="K99">
        <v>37.479999999999997</v>
      </c>
      <c r="L99">
        <v>1.8</v>
      </c>
      <c r="M99">
        <v>274</v>
      </c>
    </row>
    <row r="100" spans="1:13" x14ac:dyDescent="0.2">
      <c r="A100" t="s">
        <v>373</v>
      </c>
      <c r="B100" t="s">
        <v>35</v>
      </c>
      <c r="C100">
        <v>110576</v>
      </c>
      <c r="D100">
        <v>1464</v>
      </c>
      <c r="E100">
        <v>1.32</v>
      </c>
      <c r="F100">
        <v>1602.85</v>
      </c>
      <c r="G100">
        <v>1.0900000000000001</v>
      </c>
      <c r="H100">
        <v>29</v>
      </c>
      <c r="I100">
        <v>1.98</v>
      </c>
      <c r="J100">
        <v>1828.2</v>
      </c>
      <c r="K100">
        <v>1.1399999999999999</v>
      </c>
      <c r="L100">
        <v>55.27</v>
      </c>
      <c r="M100">
        <v>29</v>
      </c>
    </row>
    <row r="101" spans="1:13" x14ac:dyDescent="0.2">
      <c r="A101" t="s">
        <v>373</v>
      </c>
      <c r="B101" t="s">
        <v>32</v>
      </c>
      <c r="C101">
        <v>147384</v>
      </c>
      <c r="D101">
        <v>4210</v>
      </c>
      <c r="E101">
        <v>2.86</v>
      </c>
      <c r="F101">
        <v>321.63</v>
      </c>
      <c r="G101">
        <v>0.08</v>
      </c>
      <c r="H101">
        <v>167</v>
      </c>
      <c r="I101">
        <v>3.97</v>
      </c>
      <c r="J101">
        <v>11519.6</v>
      </c>
      <c r="K101">
        <v>35.82</v>
      </c>
      <c r="L101">
        <v>1.93</v>
      </c>
      <c r="M101">
        <v>167</v>
      </c>
    </row>
    <row r="102" spans="1:13" x14ac:dyDescent="0.2">
      <c r="A102" t="s">
        <v>374</v>
      </c>
      <c r="B102" t="s">
        <v>23</v>
      </c>
      <c r="C102">
        <v>168197</v>
      </c>
      <c r="D102">
        <v>5794</v>
      </c>
      <c r="E102">
        <v>3.44</v>
      </c>
      <c r="F102">
        <v>8279.3799999999992</v>
      </c>
      <c r="G102">
        <v>1.43</v>
      </c>
      <c r="H102">
        <v>184</v>
      </c>
      <c r="I102">
        <v>3.18</v>
      </c>
      <c r="J102">
        <v>12486.66</v>
      </c>
      <c r="K102">
        <v>1.51</v>
      </c>
      <c r="L102">
        <v>45</v>
      </c>
      <c r="M102">
        <v>184</v>
      </c>
    </row>
    <row r="103" spans="1:13" x14ac:dyDescent="0.2">
      <c r="A103" t="s">
        <v>374</v>
      </c>
      <c r="B103" t="s">
        <v>37</v>
      </c>
      <c r="C103">
        <v>233431</v>
      </c>
      <c r="D103">
        <v>4098</v>
      </c>
      <c r="E103">
        <v>1.76</v>
      </c>
      <c r="F103">
        <v>3308.86</v>
      </c>
      <c r="G103">
        <v>0.81</v>
      </c>
      <c r="H103">
        <v>78</v>
      </c>
      <c r="I103">
        <v>1.9</v>
      </c>
      <c r="J103">
        <v>4165.54</v>
      </c>
      <c r="K103">
        <v>1.26</v>
      </c>
      <c r="L103">
        <v>42.42</v>
      </c>
      <c r="M103">
        <v>78</v>
      </c>
    </row>
    <row r="104" spans="1:13" x14ac:dyDescent="0.2">
      <c r="A104" t="s">
        <v>374</v>
      </c>
      <c r="B104" t="s">
        <v>58</v>
      </c>
      <c r="C104">
        <v>84396</v>
      </c>
      <c r="D104">
        <v>3601</v>
      </c>
      <c r="E104">
        <v>4.2699999999999996</v>
      </c>
      <c r="F104">
        <v>444.21</v>
      </c>
      <c r="G104">
        <v>0.12</v>
      </c>
      <c r="H104">
        <v>242</v>
      </c>
      <c r="I104">
        <v>6.72</v>
      </c>
      <c r="J104">
        <v>16636.400000000001</v>
      </c>
      <c r="K104">
        <v>37.450000000000003</v>
      </c>
      <c r="L104">
        <v>1.84</v>
      </c>
      <c r="M104">
        <v>242</v>
      </c>
    </row>
    <row r="105" spans="1:13" x14ac:dyDescent="0.2">
      <c r="A105" t="s">
        <v>374</v>
      </c>
      <c r="B105" t="s">
        <v>35</v>
      </c>
      <c r="C105">
        <v>119863</v>
      </c>
      <c r="D105">
        <v>1499</v>
      </c>
      <c r="E105">
        <v>1.25</v>
      </c>
      <c r="F105">
        <v>1974.79</v>
      </c>
      <c r="G105">
        <v>1.32</v>
      </c>
      <c r="H105">
        <v>31</v>
      </c>
      <c r="I105">
        <v>2.0699999999999998</v>
      </c>
      <c r="J105">
        <v>1743.51</v>
      </c>
      <c r="K105">
        <v>0.88</v>
      </c>
      <c r="L105">
        <v>63.7</v>
      </c>
      <c r="M105">
        <v>31</v>
      </c>
    </row>
    <row r="106" spans="1:13" x14ac:dyDescent="0.2">
      <c r="A106" t="s">
        <v>374</v>
      </c>
      <c r="B106" t="s">
        <v>32</v>
      </c>
      <c r="C106">
        <v>132643</v>
      </c>
      <c r="D106">
        <v>3507</v>
      </c>
      <c r="E106">
        <v>2.64</v>
      </c>
      <c r="F106">
        <v>308.60000000000002</v>
      </c>
      <c r="G106">
        <v>0.09</v>
      </c>
      <c r="H106">
        <v>156</v>
      </c>
      <c r="I106">
        <v>4.45</v>
      </c>
      <c r="J106">
        <v>10497.77</v>
      </c>
      <c r="K106">
        <v>34.020000000000003</v>
      </c>
      <c r="L106">
        <v>1.98</v>
      </c>
      <c r="M106">
        <v>156</v>
      </c>
    </row>
    <row r="107" spans="1:13" x14ac:dyDescent="0.2">
      <c r="A107" t="s">
        <v>375</v>
      </c>
      <c r="B107" t="s">
        <v>23</v>
      </c>
      <c r="C107">
        <v>156526</v>
      </c>
      <c r="D107">
        <v>5005</v>
      </c>
      <c r="E107">
        <v>3.2</v>
      </c>
      <c r="F107">
        <v>8273.01</v>
      </c>
      <c r="G107">
        <v>1.65</v>
      </c>
      <c r="H107">
        <v>181</v>
      </c>
      <c r="I107">
        <v>3.62</v>
      </c>
      <c r="J107">
        <v>11040.97</v>
      </c>
      <c r="K107">
        <v>1.33</v>
      </c>
      <c r="L107">
        <v>45.71</v>
      </c>
      <c r="M107">
        <v>181</v>
      </c>
    </row>
    <row r="108" spans="1:13" x14ac:dyDescent="0.2">
      <c r="A108" t="s">
        <v>375</v>
      </c>
      <c r="B108" t="s">
        <v>37</v>
      </c>
      <c r="C108">
        <v>242343</v>
      </c>
      <c r="D108">
        <v>3744</v>
      </c>
      <c r="E108">
        <v>1.54</v>
      </c>
      <c r="F108">
        <v>3201.67</v>
      </c>
      <c r="G108">
        <v>0.86</v>
      </c>
      <c r="H108">
        <v>67</v>
      </c>
      <c r="I108">
        <v>1.79</v>
      </c>
      <c r="J108">
        <v>3191.71</v>
      </c>
      <c r="K108">
        <v>1</v>
      </c>
      <c r="L108">
        <v>47.79</v>
      </c>
      <c r="M108">
        <v>67</v>
      </c>
    </row>
    <row r="109" spans="1:13" x14ac:dyDescent="0.2">
      <c r="A109" t="s">
        <v>375</v>
      </c>
      <c r="B109" t="s">
        <v>58</v>
      </c>
      <c r="C109">
        <v>90446</v>
      </c>
      <c r="D109">
        <v>3935</v>
      </c>
      <c r="E109">
        <v>4.3499999999999996</v>
      </c>
      <c r="F109">
        <v>438.52</v>
      </c>
      <c r="G109">
        <v>0.11</v>
      </c>
      <c r="H109">
        <v>228</v>
      </c>
      <c r="I109">
        <v>5.79</v>
      </c>
      <c r="J109">
        <v>16517.330000000002</v>
      </c>
      <c r="K109">
        <v>37.67</v>
      </c>
      <c r="L109">
        <v>1.92</v>
      </c>
      <c r="M109">
        <v>228</v>
      </c>
    </row>
    <row r="110" spans="1:13" x14ac:dyDescent="0.2">
      <c r="A110" t="s">
        <v>375</v>
      </c>
      <c r="B110" t="s">
        <v>35</v>
      </c>
      <c r="C110">
        <v>107310</v>
      </c>
      <c r="D110">
        <v>1319</v>
      </c>
      <c r="E110">
        <v>1.23</v>
      </c>
      <c r="F110">
        <v>1431.84</v>
      </c>
      <c r="G110">
        <v>1.0900000000000001</v>
      </c>
      <c r="H110">
        <v>23</v>
      </c>
      <c r="I110">
        <v>1.74</v>
      </c>
      <c r="J110">
        <v>1356.51</v>
      </c>
      <c r="K110">
        <v>0.95</v>
      </c>
      <c r="L110">
        <v>62.25</v>
      </c>
      <c r="M110">
        <v>23</v>
      </c>
    </row>
    <row r="111" spans="1:13" x14ac:dyDescent="0.2">
      <c r="A111" t="s">
        <v>375</v>
      </c>
      <c r="B111" t="s">
        <v>32</v>
      </c>
      <c r="C111">
        <v>145754</v>
      </c>
      <c r="D111">
        <v>4467</v>
      </c>
      <c r="E111">
        <v>3.06</v>
      </c>
      <c r="F111">
        <v>328.44</v>
      </c>
      <c r="G111">
        <v>7.0000000000000007E-2</v>
      </c>
      <c r="H111">
        <v>187</v>
      </c>
      <c r="I111">
        <v>4.1900000000000004</v>
      </c>
      <c r="J111">
        <v>13009.03</v>
      </c>
      <c r="K111">
        <v>39.61</v>
      </c>
      <c r="L111">
        <v>1.76</v>
      </c>
      <c r="M111">
        <v>187</v>
      </c>
    </row>
    <row r="112" spans="1:13" x14ac:dyDescent="0.2">
      <c r="A112" t="s">
        <v>376</v>
      </c>
      <c r="B112" t="s">
        <v>23</v>
      </c>
      <c r="C112">
        <v>162003</v>
      </c>
      <c r="D112">
        <v>5962</v>
      </c>
      <c r="E112">
        <v>3.68</v>
      </c>
      <c r="F112">
        <v>8588.7999999999993</v>
      </c>
      <c r="G112">
        <v>1.44</v>
      </c>
      <c r="H112">
        <v>243</v>
      </c>
      <c r="I112">
        <v>4.08</v>
      </c>
      <c r="J112">
        <v>16010.84</v>
      </c>
      <c r="K112">
        <v>1.86</v>
      </c>
      <c r="L112">
        <v>35.340000000000003</v>
      </c>
      <c r="M112">
        <v>243</v>
      </c>
    </row>
    <row r="113" spans="1:13" x14ac:dyDescent="0.2">
      <c r="A113" t="s">
        <v>376</v>
      </c>
      <c r="B113" t="s">
        <v>37</v>
      </c>
      <c r="C113">
        <v>262916</v>
      </c>
      <c r="D113">
        <v>4687</v>
      </c>
      <c r="E113">
        <v>1.78</v>
      </c>
      <c r="F113">
        <v>4041.86</v>
      </c>
      <c r="G113">
        <v>0.86</v>
      </c>
      <c r="H113">
        <v>95</v>
      </c>
      <c r="I113">
        <v>2.0299999999999998</v>
      </c>
      <c r="J113">
        <v>4614.66</v>
      </c>
      <c r="K113">
        <v>1.1399999999999999</v>
      </c>
      <c r="L113">
        <v>42.55</v>
      </c>
      <c r="M113">
        <v>95</v>
      </c>
    </row>
    <row r="114" spans="1:13" x14ac:dyDescent="0.2">
      <c r="A114" t="s">
        <v>376</v>
      </c>
      <c r="B114" t="s">
        <v>58</v>
      </c>
      <c r="C114">
        <v>79992</v>
      </c>
      <c r="D114">
        <v>3878</v>
      </c>
      <c r="E114">
        <v>4.8499999999999996</v>
      </c>
      <c r="F114">
        <v>497.18</v>
      </c>
      <c r="G114">
        <v>0.13</v>
      </c>
      <c r="H114">
        <v>271</v>
      </c>
      <c r="I114">
        <v>6.99</v>
      </c>
      <c r="J114">
        <v>18072.71</v>
      </c>
      <c r="K114">
        <v>36.35</v>
      </c>
      <c r="L114">
        <v>1.83</v>
      </c>
      <c r="M114">
        <v>271</v>
      </c>
    </row>
    <row r="115" spans="1:13" x14ac:dyDescent="0.2">
      <c r="A115" t="s">
        <v>376</v>
      </c>
      <c r="B115" t="s">
        <v>35</v>
      </c>
      <c r="C115">
        <v>117889</v>
      </c>
      <c r="D115">
        <v>1503</v>
      </c>
      <c r="E115">
        <v>1.27</v>
      </c>
      <c r="F115">
        <v>1648.55</v>
      </c>
      <c r="G115">
        <v>1.1000000000000001</v>
      </c>
      <c r="H115">
        <v>29</v>
      </c>
      <c r="I115">
        <v>1.93</v>
      </c>
      <c r="J115">
        <v>1669.24</v>
      </c>
      <c r="K115">
        <v>1.01</v>
      </c>
      <c r="L115">
        <v>56.85</v>
      </c>
      <c r="M115">
        <v>29</v>
      </c>
    </row>
    <row r="116" spans="1:13" x14ac:dyDescent="0.2">
      <c r="A116" t="s">
        <v>376</v>
      </c>
      <c r="B116" t="s">
        <v>32</v>
      </c>
      <c r="C116">
        <v>132486</v>
      </c>
      <c r="D116">
        <v>4140</v>
      </c>
      <c r="E116">
        <v>3.12</v>
      </c>
      <c r="F116">
        <v>344.92</v>
      </c>
      <c r="G116">
        <v>0.08</v>
      </c>
      <c r="H116">
        <v>182</v>
      </c>
      <c r="I116">
        <v>4.4000000000000004</v>
      </c>
      <c r="J116">
        <v>12771.95</v>
      </c>
      <c r="K116">
        <v>37.03</v>
      </c>
      <c r="L116">
        <v>1.9</v>
      </c>
      <c r="M116">
        <v>182</v>
      </c>
    </row>
    <row r="117" spans="1:13" x14ac:dyDescent="0.2">
      <c r="A117" t="s">
        <v>377</v>
      </c>
      <c r="B117" t="s">
        <v>23</v>
      </c>
      <c r="C117">
        <v>168090</v>
      </c>
      <c r="D117">
        <v>6151</v>
      </c>
      <c r="E117">
        <v>3.66</v>
      </c>
      <c r="F117">
        <v>9492.07</v>
      </c>
      <c r="G117">
        <v>1.54</v>
      </c>
      <c r="H117">
        <v>246</v>
      </c>
      <c r="I117">
        <v>4</v>
      </c>
      <c r="J117">
        <v>14902.71</v>
      </c>
      <c r="K117">
        <v>1.57</v>
      </c>
      <c r="L117">
        <v>38.590000000000003</v>
      </c>
      <c r="M117">
        <v>246</v>
      </c>
    </row>
    <row r="118" spans="1:13" x14ac:dyDescent="0.2">
      <c r="A118" t="s">
        <v>377</v>
      </c>
      <c r="B118" t="s">
        <v>37</v>
      </c>
      <c r="C118">
        <v>273797</v>
      </c>
      <c r="D118">
        <v>4413</v>
      </c>
      <c r="E118">
        <v>1.61</v>
      </c>
      <c r="F118">
        <v>3773.8</v>
      </c>
      <c r="G118">
        <v>0.86</v>
      </c>
      <c r="H118">
        <v>86</v>
      </c>
      <c r="I118">
        <v>1.95</v>
      </c>
      <c r="J118">
        <v>4252.1899999999996</v>
      </c>
      <c r="K118">
        <v>1.1299999999999999</v>
      </c>
      <c r="L118">
        <v>43.88</v>
      </c>
      <c r="M118">
        <v>86</v>
      </c>
    </row>
    <row r="119" spans="1:13" x14ac:dyDescent="0.2">
      <c r="A119" t="s">
        <v>377</v>
      </c>
      <c r="B119" t="s">
        <v>58</v>
      </c>
      <c r="C119">
        <v>88390</v>
      </c>
      <c r="D119">
        <v>4057</v>
      </c>
      <c r="E119">
        <v>4.59</v>
      </c>
      <c r="F119">
        <v>517.66999999999996</v>
      </c>
      <c r="G119">
        <v>0.13</v>
      </c>
      <c r="H119">
        <v>236</v>
      </c>
      <c r="I119">
        <v>5.82</v>
      </c>
      <c r="J119">
        <v>15386.32</v>
      </c>
      <c r="K119">
        <v>29.72</v>
      </c>
      <c r="L119">
        <v>2.19</v>
      </c>
      <c r="M119">
        <v>236</v>
      </c>
    </row>
    <row r="120" spans="1:13" x14ac:dyDescent="0.2">
      <c r="A120" t="s">
        <v>377</v>
      </c>
      <c r="B120" t="s">
        <v>35</v>
      </c>
      <c r="C120">
        <v>110122</v>
      </c>
      <c r="D120">
        <v>1327</v>
      </c>
      <c r="E120">
        <v>1.21</v>
      </c>
      <c r="F120">
        <v>1492.02</v>
      </c>
      <c r="G120">
        <v>1.1200000000000001</v>
      </c>
      <c r="H120">
        <v>25</v>
      </c>
      <c r="I120">
        <v>1.88</v>
      </c>
      <c r="J120">
        <v>1464.5</v>
      </c>
      <c r="K120">
        <v>0.98</v>
      </c>
      <c r="L120">
        <v>59.68</v>
      </c>
      <c r="M120">
        <v>25</v>
      </c>
    </row>
    <row r="121" spans="1:13" x14ac:dyDescent="0.2">
      <c r="A121" t="s">
        <v>377</v>
      </c>
      <c r="B121" t="s">
        <v>32</v>
      </c>
      <c r="C121">
        <v>130049</v>
      </c>
      <c r="D121">
        <v>3744</v>
      </c>
      <c r="E121">
        <v>2.88</v>
      </c>
      <c r="F121">
        <v>327.84</v>
      </c>
      <c r="G121">
        <v>0.09</v>
      </c>
      <c r="H121">
        <v>141</v>
      </c>
      <c r="I121">
        <v>3.77</v>
      </c>
      <c r="J121">
        <v>9381.99</v>
      </c>
      <c r="K121">
        <v>28.62</v>
      </c>
      <c r="L121">
        <v>2.33</v>
      </c>
      <c r="M121">
        <v>141</v>
      </c>
    </row>
  </sheetData>
  <pageMargins left="0.75" right="0.75" top="1" bottom="1" header="0.5" footer="0.5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Dataset_A_Customers</vt:lpstr>
      <vt:lpstr>Dataset_B_Channels</vt:lpstr>
      <vt:lpstr>Dataset_C_Sales</vt:lpstr>
      <vt:lpstr>Dashboard</vt:lpstr>
      <vt:lpstr>A_RAW</vt:lpstr>
      <vt:lpstr>RFM_Scoring</vt:lpstr>
      <vt:lpstr>Segment Profiles</vt:lpstr>
      <vt:lpstr>B_RAW</vt:lpstr>
      <vt:lpstr>Channels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Viola Romoli</cp:lastModifiedBy>
  <dcterms:created xsi:type="dcterms:W3CDTF">2026-04-13T18:36:44Z</dcterms:created>
  <dcterms:modified xsi:type="dcterms:W3CDTF">2026-06-09T20:35:04Z</dcterms:modified>
</cp:coreProperties>
</file>